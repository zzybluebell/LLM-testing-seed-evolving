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new_customers</t>
        </is>
      </c>
      <c r="D1" t="inlineStr">
        <is>
          <t>churned_customers</t>
        </is>
      </c>
      <c r="E1" t="inlineStr">
        <is>
          <t>cogs</t>
        </is>
      </c>
      <c r="F1" t="inlineStr">
        <is>
          <t>sales_marketing_spend</t>
        </is>
      </c>
      <c r="G1" t="inlineStr">
        <is>
          <t>headcount</t>
        </is>
      </c>
    </row>
    <row r="2">
      <c r="A2" t="inlineStr">
        <is>
          <t>2023-10</t>
        </is>
      </c>
      <c r="B2" t="n">
        <v>22955.41</v>
      </c>
      <c r="C2" t="n">
        <v>14</v>
      </c>
      <c r="D2" t="n">
        <v>4</v>
      </c>
      <c r="E2" t="n">
        <v>6427.51</v>
      </c>
      <c r="F2" t="n">
        <v>12146.46</v>
      </c>
      <c r="G2" t="n">
        <v>9</v>
      </c>
    </row>
    <row r="3">
      <c r="A3" t="inlineStr">
        <is>
          <t>2023-11</t>
        </is>
      </c>
      <c r="B3" t="n">
        <v>25680.63</v>
      </c>
      <c r="C3" t="n">
        <v>14</v>
      </c>
      <c r="D3" t="n">
        <v>4</v>
      </c>
      <c r="E3" t="n">
        <v>7146.55</v>
      </c>
      <c r="F3" t="n">
        <v>13079.62</v>
      </c>
      <c r="G3" t="n">
        <v>10</v>
      </c>
    </row>
    <row r="4">
      <c r="A4" t="inlineStr">
        <is>
          <t>2023-12</t>
        </is>
      </c>
      <c r="B4" t="n">
        <v>27600.88</v>
      </c>
      <c r="C4" t="n">
        <v>17</v>
      </c>
      <c r="D4" t="n">
        <v>4</v>
      </c>
      <c r="E4" t="n">
        <v>7633.61</v>
      </c>
      <c r="F4" t="n">
        <v>15396.65</v>
      </c>
      <c r="G4" t="n">
        <v>10</v>
      </c>
    </row>
    <row r="5">
      <c r="A5" t="inlineStr">
        <is>
          <t>2024-01</t>
        </is>
      </c>
      <c r="B5" t="n">
        <v>29838.64</v>
      </c>
      <c r="C5" t="n">
        <v>15</v>
      </c>
      <c r="D5" t="n">
        <v>5</v>
      </c>
      <c r="E5" t="n">
        <v>8201.360000000001</v>
      </c>
      <c r="F5" t="n">
        <v>13897.61</v>
      </c>
      <c r="G5" t="n">
        <v>11</v>
      </c>
    </row>
    <row r="6">
      <c r="A6" t="inlineStr">
        <is>
          <t>2024-02</t>
        </is>
      </c>
      <c r="B6" t="n">
        <v>31936.87</v>
      </c>
      <c r="C6" t="n">
        <v>15</v>
      </c>
      <c r="D6" t="n">
        <v>5</v>
      </c>
      <c r="E6" t="n">
        <v>8723.33</v>
      </c>
      <c r="F6" t="n">
        <v>14350.37</v>
      </c>
      <c r="G6" t="n">
        <v>12</v>
      </c>
    </row>
    <row r="7">
      <c r="A7" t="inlineStr">
        <is>
          <t>2024-03</t>
        </is>
      </c>
      <c r="B7" t="n">
        <v>34682.07</v>
      </c>
      <c r="C7" t="n">
        <v>18</v>
      </c>
      <c r="D7" t="n">
        <v>5</v>
      </c>
      <c r="E7" t="n">
        <v>9413.700000000001</v>
      </c>
      <c r="F7" t="n">
        <v>17213.82</v>
      </c>
      <c r="G7" t="n">
        <v>13</v>
      </c>
    </row>
    <row r="8">
      <c r="A8" t="inlineStr">
        <is>
          <t>2024-04</t>
        </is>
      </c>
      <c r="B8" t="n">
        <v>37305.89</v>
      </c>
      <c r="C8" t="n">
        <v>20</v>
      </c>
      <c r="D8" t="n">
        <v>6</v>
      </c>
      <c r="E8" t="n">
        <v>10061.93</v>
      </c>
      <c r="F8" t="n">
        <v>19959.66</v>
      </c>
      <c r="G8" t="n">
        <v>13</v>
      </c>
    </row>
    <row r="9">
      <c r="A9" t="inlineStr">
        <is>
          <t>2024-05</t>
        </is>
      </c>
      <c r="B9" t="n">
        <v>40825.45</v>
      </c>
      <c r="C9" t="n">
        <v>20</v>
      </c>
      <c r="D9" t="n">
        <v>6</v>
      </c>
      <c r="E9" t="n">
        <v>10941.22</v>
      </c>
      <c r="F9" t="n">
        <v>18141.63</v>
      </c>
      <c r="G9" t="n">
        <v>14</v>
      </c>
    </row>
    <row r="10">
      <c r="A10" t="inlineStr">
        <is>
          <t>2024-06</t>
        </is>
      </c>
      <c r="B10" t="n">
        <v>44263.07</v>
      </c>
      <c r="C10" t="n">
        <v>22</v>
      </c>
      <c r="D10" t="n">
        <v>6</v>
      </c>
      <c r="E10" t="n">
        <v>11786.62</v>
      </c>
      <c r="F10" t="n">
        <v>19920.09</v>
      </c>
      <c r="G10" t="n">
        <v>15</v>
      </c>
    </row>
    <row r="11">
      <c r="A11" t="inlineStr">
        <is>
          <t>2024-07</t>
        </is>
      </c>
      <c r="B11" t="n">
        <v>47951.09</v>
      </c>
      <c r="C11" t="n">
        <v>19</v>
      </c>
      <c r="D11" t="n">
        <v>7</v>
      </c>
      <c r="E11" t="n">
        <v>12686.49</v>
      </c>
      <c r="F11" t="n">
        <v>18873.83</v>
      </c>
      <c r="G11" t="n">
        <v>15</v>
      </c>
    </row>
    <row r="12">
      <c r="A12" t="inlineStr">
        <is>
          <t>2024-08</t>
        </is>
      </c>
      <c r="B12" t="n">
        <v>51330.25</v>
      </c>
      <c r="C12" t="n">
        <v>23</v>
      </c>
      <c r="D12" t="n">
        <v>7</v>
      </c>
      <c r="E12" t="n">
        <v>13492.52</v>
      </c>
      <c r="F12" t="n">
        <v>22802.84</v>
      </c>
      <c r="G12" t="n">
        <v>16</v>
      </c>
    </row>
    <row r="13">
      <c r="A13" t="inlineStr">
        <is>
          <t>2024-09</t>
        </is>
      </c>
      <c r="B13" t="n">
        <v>54420.02</v>
      </c>
      <c r="C13" t="n">
        <v>24</v>
      </c>
      <c r="D13" t="n">
        <v>7</v>
      </c>
      <c r="E13" t="n">
        <v>14211.4</v>
      </c>
      <c r="F13" t="n">
        <v>24061.55</v>
      </c>
      <c r="G13" t="n">
        <v>17</v>
      </c>
    </row>
    <row r="14">
      <c r="A14" t="inlineStr">
        <is>
          <t>2024-10</t>
        </is>
      </c>
      <c r="B14" t="n">
        <v>58642.99</v>
      </c>
      <c r="C14" t="n">
        <v>24</v>
      </c>
      <c r="D14" t="n">
        <v>8</v>
      </c>
      <c r="E14" t="n">
        <v>15213.67</v>
      </c>
      <c r="F14" t="n">
        <v>25461.49</v>
      </c>
      <c r="G14" t="n">
        <v>18</v>
      </c>
    </row>
    <row r="15">
      <c r="A15" t="inlineStr">
        <is>
          <t>2024-11</t>
        </is>
      </c>
      <c r="B15" t="n">
        <v>62609.88</v>
      </c>
      <c r="C15" t="n">
        <v>24</v>
      </c>
      <c r="D15" t="n">
        <v>8</v>
      </c>
      <c r="E15" t="n">
        <v>16135.46</v>
      </c>
      <c r="F15" t="n">
        <v>22510.32</v>
      </c>
      <c r="G15" t="n">
        <v>18</v>
      </c>
    </row>
    <row r="16">
      <c r="A16" t="inlineStr">
        <is>
          <t>2024-12</t>
        </is>
      </c>
      <c r="B16" t="n">
        <v>65134.61</v>
      </c>
      <c r="C16" t="n">
        <v>23</v>
      </c>
      <c r="D16" t="n">
        <v>8</v>
      </c>
      <c r="E16" t="n">
        <v>16674.46</v>
      </c>
      <c r="F16" t="n">
        <v>21882.71</v>
      </c>
      <c r="G16" t="n">
        <v>19</v>
      </c>
    </row>
    <row r="17">
      <c r="A17" t="inlineStr">
        <is>
          <t>2025-01</t>
        </is>
      </c>
      <c r="B17" t="n">
        <v>68219.28</v>
      </c>
      <c r="C17" t="n">
        <v>24</v>
      </c>
      <c r="D17" t="n">
        <v>9</v>
      </c>
      <c r="E17" t="n">
        <v>17347.19</v>
      </c>
      <c r="F17" t="n">
        <v>23808.77</v>
      </c>
      <c r="G17" t="n">
        <v>20</v>
      </c>
    </row>
    <row r="18">
      <c r="A18" t="inlineStr">
        <is>
          <t>2025-02</t>
        </is>
      </c>
      <c r="B18" t="n">
        <v>73239.00999999999</v>
      </c>
      <c r="C18" t="n">
        <v>27</v>
      </c>
      <c r="D18" t="n">
        <v>9</v>
      </c>
      <c r="E18" t="n">
        <v>18498.08</v>
      </c>
      <c r="F18" t="n">
        <v>27421.21</v>
      </c>
      <c r="G18" t="n">
        <v>20</v>
      </c>
    </row>
    <row r="19">
      <c r="A19" t="inlineStr">
        <is>
          <t>2025-03</t>
        </is>
      </c>
      <c r="B19" t="n">
        <v>76868.77</v>
      </c>
      <c r="C19" t="n">
        <v>25</v>
      </c>
      <c r="D19" t="n">
        <v>9</v>
      </c>
      <c r="E19" t="n">
        <v>19283.08</v>
      </c>
      <c r="F19" t="n">
        <v>27969.32</v>
      </c>
      <c r="G19" t="n">
        <v>21</v>
      </c>
    </row>
    <row r="20">
      <c r="A20" t="inlineStr">
        <is>
          <t>2025-04</t>
        </is>
      </c>
      <c r="B20" t="n">
        <v>82381.48</v>
      </c>
      <c r="C20" t="n">
        <v>28</v>
      </c>
      <c r="D20" t="n">
        <v>10</v>
      </c>
      <c r="E20" t="n">
        <v>20524.76</v>
      </c>
      <c r="F20" t="n">
        <v>27966.72</v>
      </c>
      <c r="G20" t="n">
        <v>22</v>
      </c>
    </row>
    <row r="21">
      <c r="A21" t="inlineStr">
        <is>
          <t>2025-05</t>
        </is>
      </c>
      <c r="B21" t="n">
        <v>85561.42999999999</v>
      </c>
      <c r="C21" t="n">
        <v>29</v>
      </c>
      <c r="D21" t="n">
        <v>10</v>
      </c>
      <c r="E21" t="n">
        <v>21170.34</v>
      </c>
      <c r="F21" t="n">
        <v>30228.37</v>
      </c>
      <c r="G21" t="n">
        <v>23</v>
      </c>
    </row>
    <row r="22">
      <c r="A22" t="inlineStr">
        <is>
          <t>2025-06</t>
        </is>
      </c>
      <c r="B22" t="n">
        <v>92658.86</v>
      </c>
      <c r="C22" t="n">
        <v>32</v>
      </c>
      <c r="D22" t="n">
        <v>10</v>
      </c>
      <c r="E22" t="n">
        <v>22767.61</v>
      </c>
      <c r="F22" t="n">
        <v>34598.12</v>
      </c>
      <c r="G22" t="n">
        <v>23</v>
      </c>
    </row>
    <row r="23">
      <c r="A23" t="inlineStr">
        <is>
          <t>2025-07</t>
        </is>
      </c>
      <c r="B23" t="n">
        <v>98533.00999999999</v>
      </c>
      <c r="C23" t="n">
        <v>31</v>
      </c>
      <c r="D23" t="n">
        <v>11</v>
      </c>
      <c r="E23" t="n">
        <v>24042.05</v>
      </c>
      <c r="F23" t="n">
        <v>34958.48</v>
      </c>
      <c r="G23" t="n">
        <v>24</v>
      </c>
    </row>
    <row r="24">
      <c r="A24" t="inlineStr">
        <is>
          <t>2025-08</t>
        </is>
      </c>
      <c r="B24" t="n">
        <v>99983.31</v>
      </c>
      <c r="C24" t="n">
        <v>29</v>
      </c>
      <c r="D24" t="n">
        <v>11</v>
      </c>
      <c r="E24" t="n">
        <v>24224.53</v>
      </c>
      <c r="F24" t="n">
        <v>30636.43</v>
      </c>
      <c r="G24" t="n">
        <v>25</v>
      </c>
    </row>
    <row r="25">
      <c r="A25" t="inlineStr">
        <is>
          <t>2025-09</t>
        </is>
      </c>
      <c r="B25" t="n">
        <v>105409.43</v>
      </c>
      <c r="C25" t="n">
        <v>30</v>
      </c>
      <c r="D25" t="n">
        <v>12</v>
      </c>
      <c r="E25" t="n">
        <v>25358.5</v>
      </c>
      <c r="F25" t="n">
        <v>35246.77</v>
      </c>
      <c r="G25" t="n">
        <v>25</v>
      </c>
    </row>
    <row r="26">
      <c r="A26" t="inlineStr">
        <is>
          <t>2025-10</t>
        </is>
      </c>
      <c r="B26" t="n">
        <v>111507.8</v>
      </c>
      <c r="C26" t="n">
        <v>34</v>
      </c>
      <c r="D26" t="n">
        <v>12</v>
      </c>
      <c r="E26" t="n">
        <v>26634.43</v>
      </c>
      <c r="F26" t="n">
        <v>38529.26</v>
      </c>
      <c r="G26" t="n">
        <v>26</v>
      </c>
    </row>
    <row r="27">
      <c r="A27" t="inlineStr">
        <is>
          <t>2025-11</t>
        </is>
      </c>
      <c r="B27" t="n">
        <v>119619.74</v>
      </c>
      <c r="C27" t="n">
        <v>32</v>
      </c>
      <c r="D27" t="n">
        <v>12</v>
      </c>
      <c r="E27" t="n">
        <v>28366.97</v>
      </c>
      <c r="F27" t="n">
        <v>35422.39</v>
      </c>
      <c r="G27" t="n">
        <v>27</v>
      </c>
    </row>
    <row r="28">
      <c r="A28" t="inlineStr">
        <is>
          <t>2025-12</t>
        </is>
      </c>
      <c r="B28" t="n">
        <v>121595.59</v>
      </c>
      <c r="C28" t="n">
        <v>32</v>
      </c>
      <c r="D28" t="n">
        <v>13</v>
      </c>
      <c r="E28" t="n">
        <v>28627.08</v>
      </c>
      <c r="F28" t="n">
        <v>36284.24</v>
      </c>
      <c r="G28" t="n">
        <v>28</v>
      </c>
    </row>
    <row r="29">
      <c r="A29" t="inlineStr">
        <is>
          <t>2026-01</t>
        </is>
      </c>
      <c r="B29" t="n">
        <v>128511.06</v>
      </c>
      <c r="C29" t="n">
        <v>32</v>
      </c>
      <c r="D29" t="n">
        <v>13</v>
      </c>
      <c r="E29" t="n">
        <v>30034.87</v>
      </c>
      <c r="F29" t="n">
        <v>38510.27</v>
      </c>
      <c r="G29" t="n">
        <v>28</v>
      </c>
    </row>
    <row r="30">
      <c r="A30" t="inlineStr">
        <is>
          <t>2026-02</t>
        </is>
      </c>
      <c r="B30" t="n">
        <v>132333.4</v>
      </c>
      <c r="C30" t="n">
        <v>34</v>
      </c>
      <c r="D30" t="n">
        <v>13</v>
      </c>
      <c r="E30" t="n">
        <v>30701.35</v>
      </c>
      <c r="F30" t="n">
        <v>41845.53</v>
      </c>
      <c r="G30" t="n">
        <v>29</v>
      </c>
    </row>
    <row r="31">
      <c r="A31" t="inlineStr">
        <is>
          <t>2026-03</t>
        </is>
      </c>
      <c r="B31" t="n">
        <v>137832.75</v>
      </c>
      <c r="C31" t="n">
        <v>36</v>
      </c>
      <c r="D31" t="n">
        <v>13</v>
      </c>
      <c r="E31" t="n">
        <v>31740.91</v>
      </c>
      <c r="F31" t="n">
        <v>38352.4</v>
      </c>
      <c r="G31" t="n">
        <v>30</v>
      </c>
    </row>
    <row r="32">
      <c r="A32" t="inlineStr">
        <is>
          <t>2026-04</t>
        </is>
      </c>
      <c r="B32" t="n">
        <v>146310.66</v>
      </c>
      <c r="C32" t="n">
        <v>33</v>
      </c>
      <c r="D32" t="n">
        <v>14</v>
      </c>
      <c r="E32" t="n">
        <v>33442.44</v>
      </c>
      <c r="F32" t="n">
        <v>39970.24</v>
      </c>
      <c r="G32" t="n">
        <v>30</v>
      </c>
    </row>
    <row r="33">
      <c r="A33" t="inlineStr">
        <is>
          <t>2026-05</t>
        </is>
      </c>
      <c r="B33" t="n">
        <v>149126.16</v>
      </c>
      <c r="C33" t="n">
        <v>36</v>
      </c>
      <c r="D33" t="n">
        <v>14</v>
      </c>
      <c r="E33" t="n">
        <v>33830.33</v>
      </c>
      <c r="F33" t="n">
        <v>41170.85</v>
      </c>
      <c r="G33" t="n">
        <v>31</v>
      </c>
    </row>
    <row r="34">
      <c r="A34" t="inlineStr">
        <is>
          <t>2026-06</t>
        </is>
      </c>
      <c r="B34" t="n">
        <v>159653.71</v>
      </c>
      <c r="C34" t="n">
        <v>42</v>
      </c>
      <c r="D34" t="n">
        <v>14</v>
      </c>
      <c r="E34" t="n">
        <v>35944.89</v>
      </c>
      <c r="F34" t="n">
        <v>53037.37</v>
      </c>
      <c r="G34" t="n">
        <v>32</v>
      </c>
    </row>
    <row r="35">
      <c r="A35" t="inlineStr">
        <is>
          <t>2026-07</t>
        </is>
      </c>
      <c r="B35" t="n">
        <v>163523.79</v>
      </c>
      <c r="C35" t="n">
        <v>41</v>
      </c>
      <c r="D35" t="n">
        <v>15</v>
      </c>
      <c r="E35" t="n">
        <v>36535.89</v>
      </c>
      <c r="F35" t="n">
        <v>50209.84</v>
      </c>
      <c r="G35" t="n">
        <v>33</v>
      </c>
    </row>
    <row r="36">
      <c r="A36" t="inlineStr">
        <is>
          <t>2026-08</t>
        </is>
      </c>
      <c r="B36" t="n">
        <v>174444.45</v>
      </c>
      <c r="C36" t="n">
        <v>41</v>
      </c>
      <c r="D36" t="n">
        <v>15</v>
      </c>
      <c r="E36" t="n">
        <v>38676.83</v>
      </c>
      <c r="F36" t="n">
        <v>47026.13</v>
      </c>
      <c r="G36" t="n">
        <v>33</v>
      </c>
    </row>
    <row r="37">
      <c r="A37" t="inlineStr">
        <is>
          <t>2026-09</t>
        </is>
      </c>
      <c r="B37" t="n">
        <v>178857.07</v>
      </c>
      <c r="C37" t="n">
        <v>41</v>
      </c>
      <c r="D37" t="n">
        <v>15</v>
      </c>
      <c r="E37" t="n">
        <v>39348.56</v>
      </c>
      <c r="F37" t="n">
        <v>48686.47</v>
      </c>
      <c r="G3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Starting active customers</t>
        </is>
      </c>
      <c r="B2" t="n">
        <v>120</v>
      </c>
    </row>
    <row r="4">
      <c r="A4" t="inlineStr">
        <is>
          <t>month</t>
        </is>
      </c>
      <c r="B4" t="inlineStr">
        <is>
          <t>opening</t>
        </is>
      </c>
      <c r="C4" t="inlineStr">
        <is>
          <t>active</t>
        </is>
      </c>
      <c r="D4" t="inlineStr">
        <is>
          <t>gross_margin</t>
        </is>
      </c>
      <c r="E4" t="inlineStr">
        <is>
          <t>churn</t>
        </is>
      </c>
    </row>
    <row r="5">
      <c r="A5">
        <f>raw!A2</f>
        <v/>
      </c>
      <c r="B5">
        <f>B2</f>
        <v/>
      </c>
      <c r="C5">
        <f>B5+raw!C2-raw!D2</f>
        <v/>
      </c>
      <c r="D5">
        <f>(raw!B2-raw!E2)/raw!B2</f>
        <v/>
      </c>
      <c r="E5">
        <f>raw!D2/B5</f>
        <v/>
      </c>
    </row>
    <row r="6">
      <c r="A6">
        <f>raw!A3</f>
        <v/>
      </c>
      <c r="B6">
        <f>C5</f>
        <v/>
      </c>
      <c r="C6">
        <f>B6+raw!C3-raw!D3</f>
        <v/>
      </c>
      <c r="D6">
        <f>(raw!B3-raw!E3)/raw!B3</f>
        <v/>
      </c>
      <c r="E6">
        <f>raw!D3/B6</f>
        <v/>
      </c>
    </row>
    <row r="7">
      <c r="A7">
        <f>raw!A4</f>
        <v/>
      </c>
      <c r="B7">
        <f>C6</f>
        <v/>
      </c>
      <c r="C7">
        <f>B7+raw!C4-raw!D4</f>
        <v/>
      </c>
      <c r="D7">
        <f>(raw!B4-raw!E4)/raw!B4</f>
        <v/>
      </c>
      <c r="E7">
        <f>raw!D4/B7</f>
        <v/>
      </c>
    </row>
    <row r="8">
      <c r="A8">
        <f>raw!A5</f>
        <v/>
      </c>
      <c r="B8">
        <f>C7</f>
        <v/>
      </c>
      <c r="C8">
        <f>B8+raw!C5-raw!D5</f>
        <v/>
      </c>
      <c r="D8">
        <f>(raw!B5-raw!E5)/raw!B5</f>
        <v/>
      </c>
      <c r="E8">
        <f>raw!D5/B8</f>
        <v/>
      </c>
    </row>
    <row r="9">
      <c r="A9">
        <f>raw!A6</f>
        <v/>
      </c>
      <c r="B9">
        <f>C8</f>
        <v/>
      </c>
      <c r="C9">
        <f>B9+raw!C6-raw!D6</f>
        <v/>
      </c>
      <c r="D9">
        <f>(raw!B6-raw!E6)/raw!B6</f>
        <v/>
      </c>
      <c r="E9">
        <f>raw!D6/B9</f>
        <v/>
      </c>
    </row>
    <row r="10">
      <c r="A10">
        <f>raw!A7</f>
        <v/>
      </c>
      <c r="B10">
        <f>C9</f>
        <v/>
      </c>
      <c r="C10">
        <f>B10+raw!C7-raw!D7</f>
        <v/>
      </c>
      <c r="D10">
        <f>(raw!B7-raw!E7)/raw!B7</f>
        <v/>
      </c>
      <c r="E10">
        <f>raw!D7/B10</f>
        <v/>
      </c>
    </row>
    <row r="11">
      <c r="A11">
        <f>raw!A8</f>
        <v/>
      </c>
      <c r="B11">
        <f>C10</f>
        <v/>
      </c>
      <c r="C11">
        <f>B11+raw!C8-raw!D8</f>
        <v/>
      </c>
      <c r="D11">
        <f>(raw!B8-raw!E8)/raw!B8</f>
        <v/>
      </c>
      <c r="E11">
        <f>raw!D8/B11</f>
        <v/>
      </c>
    </row>
    <row r="12">
      <c r="A12">
        <f>raw!A9</f>
        <v/>
      </c>
      <c r="B12">
        <f>C11</f>
        <v/>
      </c>
      <c r="C12">
        <f>B12+raw!C9-raw!D9</f>
        <v/>
      </c>
      <c r="D12">
        <f>(raw!B9-raw!E9)/raw!B9</f>
        <v/>
      </c>
      <c r="E12">
        <f>raw!D9/B12</f>
        <v/>
      </c>
    </row>
    <row r="13">
      <c r="A13">
        <f>raw!A10</f>
        <v/>
      </c>
      <c r="B13">
        <f>C12</f>
        <v/>
      </c>
      <c r="C13">
        <f>B13+raw!C10-raw!D10</f>
        <v/>
      </c>
      <c r="D13">
        <f>(raw!B10-raw!E10)/raw!B10</f>
        <v/>
      </c>
      <c r="E13">
        <f>raw!D10/B13</f>
        <v/>
      </c>
    </row>
    <row r="14">
      <c r="A14">
        <f>raw!A11</f>
        <v/>
      </c>
      <c r="B14">
        <f>C13</f>
        <v/>
      </c>
      <c r="C14">
        <f>B14+raw!C11-raw!D11</f>
        <v/>
      </c>
      <c r="D14">
        <f>(raw!B11-raw!E11)/raw!B11</f>
        <v/>
      </c>
      <c r="E14">
        <f>raw!D11/B14</f>
        <v/>
      </c>
    </row>
    <row r="15">
      <c r="A15">
        <f>raw!A12</f>
        <v/>
      </c>
      <c r="B15">
        <f>C14</f>
        <v/>
      </c>
      <c r="C15">
        <f>B15+raw!C12-raw!D12</f>
        <v/>
      </c>
      <c r="D15">
        <f>(raw!B12-raw!E12)/raw!B12</f>
        <v/>
      </c>
      <c r="E15">
        <f>raw!D12/B15</f>
        <v/>
      </c>
    </row>
    <row r="16">
      <c r="A16">
        <f>raw!A13</f>
        <v/>
      </c>
      <c r="B16">
        <f>C15</f>
        <v/>
      </c>
      <c r="C16">
        <f>B16+raw!C13-raw!D13</f>
        <v/>
      </c>
      <c r="D16">
        <f>(raw!B13-raw!E13)/raw!B13</f>
        <v/>
      </c>
      <c r="E16">
        <f>raw!D13/B16</f>
        <v/>
      </c>
    </row>
    <row r="17">
      <c r="A17">
        <f>raw!A14</f>
        <v/>
      </c>
      <c r="B17">
        <f>C16</f>
        <v/>
      </c>
      <c r="C17">
        <f>B17+raw!C14-raw!D14</f>
        <v/>
      </c>
      <c r="D17">
        <f>(raw!B14-raw!E14)/raw!B14</f>
        <v/>
      </c>
      <c r="E17">
        <f>raw!D14/B17</f>
        <v/>
      </c>
    </row>
    <row r="18">
      <c r="A18">
        <f>raw!A15</f>
        <v/>
      </c>
      <c r="B18">
        <f>C17</f>
        <v/>
      </c>
      <c r="C18">
        <f>B18+raw!C15-raw!D15</f>
        <v/>
      </c>
      <c r="D18">
        <f>(raw!B15-raw!E15)/raw!B15</f>
        <v/>
      </c>
      <c r="E18">
        <f>raw!D15/B18</f>
        <v/>
      </c>
    </row>
    <row r="19">
      <c r="A19">
        <f>raw!A16</f>
        <v/>
      </c>
      <c r="B19">
        <f>C18</f>
        <v/>
      </c>
      <c r="C19">
        <f>B19+raw!C16-raw!D16</f>
        <v/>
      </c>
      <c r="D19">
        <f>(raw!B16-raw!E16)/raw!B16</f>
        <v/>
      </c>
      <c r="E19">
        <f>raw!D16/B19</f>
        <v/>
      </c>
    </row>
    <row r="20">
      <c r="A20">
        <f>raw!A17</f>
        <v/>
      </c>
      <c r="B20">
        <f>C19</f>
        <v/>
      </c>
      <c r="C20">
        <f>B20+raw!C17-raw!D17</f>
        <v/>
      </c>
      <c r="D20">
        <f>(raw!B17-raw!E17)/raw!B17</f>
        <v/>
      </c>
      <c r="E20">
        <f>raw!D17/B20</f>
        <v/>
      </c>
    </row>
    <row r="21">
      <c r="A21">
        <f>raw!A18</f>
        <v/>
      </c>
      <c r="B21">
        <f>C20</f>
        <v/>
      </c>
      <c r="C21">
        <f>B21+raw!C18-raw!D18</f>
        <v/>
      </c>
      <c r="D21">
        <f>(raw!B18-raw!E18)/raw!B18</f>
        <v/>
      </c>
      <c r="E21">
        <f>raw!D18/B21</f>
        <v/>
      </c>
    </row>
    <row r="22">
      <c r="A22">
        <f>raw!A19</f>
        <v/>
      </c>
      <c r="B22">
        <f>C21</f>
        <v/>
      </c>
      <c r="C22">
        <f>B22+raw!C19-raw!D19</f>
        <v/>
      </c>
      <c r="D22">
        <f>(raw!B19-raw!E19)/raw!B19</f>
        <v/>
      </c>
      <c r="E22">
        <f>raw!D19/B22</f>
        <v/>
      </c>
    </row>
    <row r="23">
      <c r="A23">
        <f>raw!A20</f>
        <v/>
      </c>
      <c r="B23">
        <f>C22</f>
        <v/>
      </c>
      <c r="C23">
        <f>B23+raw!C20-raw!D20</f>
        <v/>
      </c>
      <c r="D23">
        <f>(raw!B20-raw!E20)/raw!B20</f>
        <v/>
      </c>
      <c r="E23">
        <f>raw!D20/B23</f>
        <v/>
      </c>
    </row>
    <row r="24">
      <c r="A24">
        <f>raw!A21</f>
        <v/>
      </c>
      <c r="B24">
        <f>C23</f>
        <v/>
      </c>
      <c r="C24">
        <f>B24+raw!C21-raw!D21</f>
        <v/>
      </c>
      <c r="D24">
        <f>(raw!B21-raw!E21)/raw!B21</f>
        <v/>
      </c>
      <c r="E24">
        <f>raw!D21/B24</f>
        <v/>
      </c>
    </row>
    <row r="25">
      <c r="A25">
        <f>raw!A22</f>
        <v/>
      </c>
      <c r="B25">
        <f>C24</f>
        <v/>
      </c>
      <c r="C25">
        <f>B25+raw!C22-raw!D22</f>
        <v/>
      </c>
      <c r="D25">
        <f>(raw!B22-raw!E22)/raw!B22</f>
        <v/>
      </c>
      <c r="E25">
        <f>raw!D22/B25</f>
        <v/>
      </c>
    </row>
    <row r="26">
      <c r="A26">
        <f>raw!A23</f>
        <v/>
      </c>
      <c r="B26">
        <f>C25</f>
        <v/>
      </c>
      <c r="C26">
        <f>B26+raw!C23-raw!D23</f>
        <v/>
      </c>
      <c r="D26">
        <f>(raw!B23-raw!E23)/raw!B23</f>
        <v/>
      </c>
      <c r="E26">
        <f>raw!D23/B26</f>
        <v/>
      </c>
    </row>
    <row r="27">
      <c r="A27">
        <f>raw!A24</f>
        <v/>
      </c>
      <c r="B27">
        <f>C26</f>
        <v/>
      </c>
      <c r="C27">
        <f>B27+raw!C24-raw!D24</f>
        <v/>
      </c>
      <c r="D27">
        <f>(raw!B24-raw!E24)/raw!B24</f>
        <v/>
      </c>
      <c r="E27">
        <f>raw!D24/B27</f>
        <v/>
      </c>
    </row>
    <row r="28">
      <c r="A28">
        <f>raw!A25</f>
        <v/>
      </c>
      <c r="B28">
        <f>C27</f>
        <v/>
      </c>
      <c r="C28">
        <f>B28+raw!C25-raw!D25</f>
        <v/>
      </c>
      <c r="D28">
        <f>(raw!B25-raw!E25)/raw!B25</f>
        <v/>
      </c>
      <c r="E28">
        <f>raw!D25/B28</f>
        <v/>
      </c>
    </row>
    <row r="29">
      <c r="A29">
        <f>raw!A26</f>
        <v/>
      </c>
      <c r="B29">
        <f>C28</f>
        <v/>
      </c>
      <c r="C29">
        <f>B29+raw!C26-raw!D26</f>
        <v/>
      </c>
      <c r="D29">
        <f>(raw!B26-raw!E26)/raw!B26</f>
        <v/>
      </c>
      <c r="E29">
        <f>raw!D26/B29</f>
        <v/>
      </c>
    </row>
    <row r="30">
      <c r="A30">
        <f>raw!A27</f>
        <v/>
      </c>
      <c r="B30">
        <f>C29</f>
        <v/>
      </c>
      <c r="C30">
        <f>B30+raw!C27-raw!D27</f>
        <v/>
      </c>
      <c r="D30">
        <f>(raw!B27-raw!E27)/raw!B27</f>
        <v/>
      </c>
      <c r="E30">
        <f>raw!D27/B30</f>
        <v/>
      </c>
    </row>
    <row r="31">
      <c r="A31">
        <f>raw!A28</f>
        <v/>
      </c>
      <c r="B31">
        <f>C30</f>
        <v/>
      </c>
      <c r="C31">
        <f>B31+raw!C28-raw!D28</f>
        <v/>
      </c>
      <c r="D31">
        <f>(raw!B28-raw!E28)/raw!B28</f>
        <v/>
      </c>
      <c r="E31">
        <f>raw!D28/B31</f>
        <v/>
      </c>
    </row>
    <row r="32">
      <c r="A32">
        <f>raw!A29</f>
        <v/>
      </c>
      <c r="B32">
        <f>C31</f>
        <v/>
      </c>
      <c r="C32">
        <f>B32+raw!C29-raw!D29</f>
        <v/>
      </c>
      <c r="D32">
        <f>(raw!B29-raw!E29)/raw!B29</f>
        <v/>
      </c>
      <c r="E32">
        <f>raw!D29/B32</f>
        <v/>
      </c>
    </row>
    <row r="33">
      <c r="A33">
        <f>raw!A30</f>
        <v/>
      </c>
      <c r="B33">
        <f>C32</f>
        <v/>
      </c>
      <c r="C33">
        <f>B33+raw!C30-raw!D30</f>
        <v/>
      </c>
      <c r="D33">
        <f>(raw!B30-raw!E30)/raw!B30</f>
        <v/>
      </c>
      <c r="E33">
        <f>raw!D30/B33</f>
        <v/>
      </c>
    </row>
    <row r="34">
      <c r="A34">
        <f>raw!A31</f>
        <v/>
      </c>
      <c r="B34">
        <f>C33</f>
        <v/>
      </c>
      <c r="C34">
        <f>B34+raw!C31-raw!D31</f>
        <v/>
      </c>
      <c r="D34">
        <f>(raw!B31-raw!E31)/raw!B31</f>
        <v/>
      </c>
      <c r="E34">
        <f>raw!D31/B34</f>
        <v/>
      </c>
    </row>
    <row r="35">
      <c r="A35">
        <f>raw!A32</f>
        <v/>
      </c>
      <c r="B35">
        <f>C34</f>
        <v/>
      </c>
      <c r="C35">
        <f>B35+raw!C32-raw!D32</f>
        <v/>
      </c>
      <c r="D35">
        <f>(raw!B32-raw!E32)/raw!B32</f>
        <v/>
      </c>
      <c r="E35">
        <f>raw!D32/B35</f>
        <v/>
      </c>
    </row>
    <row r="36">
      <c r="A36">
        <f>raw!A33</f>
        <v/>
      </c>
      <c r="B36">
        <f>C35</f>
        <v/>
      </c>
      <c r="C36">
        <f>B36+raw!C33-raw!D33</f>
        <v/>
      </c>
      <c r="D36">
        <f>(raw!B33-raw!E33)/raw!B33</f>
        <v/>
      </c>
      <c r="E36">
        <f>raw!D33/B36</f>
        <v/>
      </c>
    </row>
    <row r="37">
      <c r="A37">
        <f>raw!A34</f>
        <v/>
      </c>
      <c r="B37">
        <f>C36</f>
        <v/>
      </c>
      <c r="C37">
        <f>B37+raw!C34-raw!D34</f>
        <v/>
      </c>
      <c r="D37">
        <f>(raw!B34-raw!E34)/raw!B34</f>
        <v/>
      </c>
      <c r="E37">
        <f>raw!D34/B37</f>
        <v/>
      </c>
    </row>
    <row r="38">
      <c r="A38">
        <f>raw!A35</f>
        <v/>
      </c>
      <c r="B38">
        <f>C37</f>
        <v/>
      </c>
      <c r="C38">
        <f>B38+raw!C35-raw!D35</f>
        <v/>
      </c>
      <c r="D38">
        <f>(raw!B35-raw!E35)/raw!B35</f>
        <v/>
      </c>
      <c r="E38">
        <f>raw!D35/B38</f>
        <v/>
      </c>
    </row>
    <row r="39">
      <c r="A39">
        <f>raw!A36</f>
        <v/>
      </c>
      <c r="B39">
        <f>C38</f>
        <v/>
      </c>
      <c r="C39">
        <f>B39+raw!C36-raw!D36</f>
        <v/>
      </c>
      <c r="D39">
        <f>(raw!B36-raw!E36)/raw!B36</f>
        <v/>
      </c>
      <c r="E39">
        <f>raw!D36/B39</f>
        <v/>
      </c>
    </row>
    <row r="40">
      <c r="A40">
        <f>raw!A37</f>
        <v/>
      </c>
      <c r="B40">
        <f>C39</f>
        <v/>
      </c>
      <c r="C40">
        <f>B40+raw!C37-raw!D37</f>
        <v/>
      </c>
      <c r="D40">
        <f>(raw!B37-raw!E37)/raw!B37</f>
        <v/>
      </c>
      <c r="E40">
        <f>raw!D37/B40</f>
        <v/>
      </c>
    </row>
    <row r="42">
      <c r="A42" t="inlineStr">
        <is>
          <t>CAC (TTM)</t>
        </is>
      </c>
      <c r="B42">
        <f>SUM(raw!F26:F37)/SUM(raw!C26:C37)</f>
        <v/>
      </c>
    </row>
    <row r="43">
      <c r="A43" t="inlineStr">
        <is>
          <t>ARPA</t>
        </is>
      </c>
      <c r="B43">
        <f>raw!B37/C40</f>
        <v/>
      </c>
    </row>
    <row r="44">
      <c r="A44" t="inlineStr">
        <is>
          <t>Avg gross margin (12m)</t>
        </is>
      </c>
      <c r="B44">
        <f>AVERAGE(D29:D40)</f>
        <v/>
      </c>
    </row>
    <row r="45">
      <c r="A45" t="inlineStr">
        <is>
          <t>Avg churn (12m)</t>
        </is>
      </c>
      <c r="B45">
        <f>AVERAGE(E29:E40)</f>
        <v/>
      </c>
    </row>
    <row r="46">
      <c r="A46" t="inlineStr">
        <is>
          <t>LTV</t>
        </is>
      </c>
      <c r="B46">
        <f>B43*B44/B45</f>
        <v/>
      </c>
    </row>
    <row r="47">
      <c r="A47" t="inlineStr">
        <is>
          <t>LTV/CAC</t>
        </is>
      </c>
      <c r="B47">
        <f>B46/B42</f>
        <v/>
      </c>
    </row>
    <row r="48">
      <c r="A48" t="inlineStr">
        <is>
          <t>CAC payback months</t>
        </is>
      </c>
      <c r="B48">
        <f>B42/(B43*B44)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t="inlineStr">
        <is>
          <t>Revenue year 0</t>
        </is>
      </c>
      <c r="B2">
        <f>SUM(raw!B26:B37)</f>
        <v/>
      </c>
    </row>
    <row r="3">
      <c r="A3" t="inlineStr">
        <is>
          <t>Discount rate</t>
        </is>
      </c>
      <c r="B3" t="n">
        <v>0.12</v>
      </c>
    </row>
    <row r="4">
      <c r="A4" t="inlineStr">
        <is>
          <t>Initial investment</t>
        </is>
      </c>
      <c r="B4" t="n">
        <v>-5000000</v>
      </c>
    </row>
    <row r="5">
      <c r="A5" t="inlineStr">
        <is>
          <t>Year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6">
      <c r="A6" t="inlineStr">
        <is>
          <t>Growth</t>
        </is>
      </c>
      <c r="B6" t="n">
        <v>0.25</v>
      </c>
      <c r="C6" t="n">
        <v>0.21</v>
      </c>
      <c r="D6" t="n">
        <v>0.17</v>
      </c>
      <c r="E6" t="n">
        <v>0.13</v>
      </c>
      <c r="F6" t="n">
        <v>0.1</v>
      </c>
    </row>
    <row r="7">
      <c r="A7" t="inlineStr">
        <is>
          <t>FCF margin</t>
        </is>
      </c>
      <c r="B7" t="n">
        <v>0.15</v>
      </c>
      <c r="C7" t="n">
        <v>0.175</v>
      </c>
      <c r="D7" t="n">
        <v>0.2</v>
      </c>
      <c r="E7" t="n">
        <v>0.225</v>
      </c>
      <c r="F7" t="n">
        <v>0.25</v>
      </c>
    </row>
    <row r="9">
      <c r="A9" t="inlineStr">
        <is>
          <t>Revenue</t>
        </is>
      </c>
      <c r="B9">
        <f>B2*(1+B6)</f>
        <v/>
      </c>
      <c r="C9">
        <f>B9*(1+C6)</f>
        <v/>
      </c>
      <c r="D9">
        <f>C9*(1+D6)</f>
        <v/>
      </c>
      <c r="E9">
        <f>D9*(1+E6)</f>
        <v/>
      </c>
      <c r="F9">
        <f>E9*(1+F6)</f>
        <v/>
      </c>
    </row>
    <row r="10">
      <c r="A10" t="inlineStr">
        <is>
          <t>FCF</t>
        </is>
      </c>
      <c r="B10">
        <f>B9*B7</f>
        <v/>
      </c>
      <c r="C10">
        <f>C9*C7</f>
        <v/>
      </c>
      <c r="D10">
        <f>D9*D7</f>
        <v/>
      </c>
      <c r="E10">
        <f>E9*E7</f>
        <v/>
      </c>
      <c r="F10">
        <f>F9*F7</f>
        <v/>
      </c>
    </row>
    <row r="11">
      <c r="A11" t="inlineStr">
        <is>
          <t>Cash flows</t>
        </is>
      </c>
      <c r="B11">
        <f>B4</f>
        <v/>
      </c>
      <c r="C11">
        <f>B10</f>
        <v/>
      </c>
      <c r="D11">
        <f>C10</f>
        <v/>
      </c>
      <c r="E11">
        <f>D10</f>
        <v/>
      </c>
      <c r="F11">
        <f>E10</f>
        <v/>
      </c>
      <c r="G11">
        <f>F10</f>
        <v/>
      </c>
    </row>
    <row r="12">
      <c r="A12" t="inlineStr">
        <is>
          <t>NPV</t>
        </is>
      </c>
      <c r="B12">
        <f>B4+NPV(B3,B10:F10)</f>
        <v/>
      </c>
    </row>
    <row r="13">
      <c r="A13" t="inlineStr">
        <is>
          <t>IRR</t>
        </is>
      </c>
      <c r="B13">
        <f>IRR(B11:G11)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t="inlineStr">
        <is>
          <t>Principal</t>
        </is>
      </c>
      <c r="B2" t="n">
        <v>2000000</v>
      </c>
    </row>
    <row r="3">
      <c r="A3" t="inlineStr">
        <is>
          <t>Annual rate</t>
        </is>
      </c>
      <c r="B3" t="n">
        <v>0.07000000000000001</v>
      </c>
    </row>
    <row r="4">
      <c r="A4" t="inlineStr">
        <is>
          <t>Payments</t>
        </is>
      </c>
      <c r="B4" t="n">
        <v>60</v>
      </c>
    </row>
    <row r="5">
      <c r="A5" t="inlineStr">
        <is>
          <t>Monthly payment (PMT)</t>
        </is>
      </c>
      <c r="B5">
        <f>PMT(B3/12,B4,-B2)</f>
        <v/>
      </c>
    </row>
    <row r="7">
      <c r="A7" t="inlineStr">
        <is>
          <t>Period</t>
        </is>
      </c>
      <c r="B7" t="inlineStr">
        <is>
          <t>Payment</t>
        </is>
      </c>
      <c r="C7" t="inlineStr">
        <is>
          <t>Interest</t>
        </is>
      </c>
      <c r="D7" t="inlineStr">
        <is>
          <t>Principal</t>
        </is>
      </c>
      <c r="E7" t="inlineStr">
        <is>
          <t>Balance</t>
        </is>
      </c>
    </row>
    <row r="8">
      <c r="A8" t="n">
        <v>0</v>
      </c>
      <c r="E8">
        <f>B2</f>
        <v/>
      </c>
    </row>
    <row r="9">
      <c r="A9" t="n">
        <v>1</v>
      </c>
      <c r="B9">
        <f>$B$5</f>
        <v/>
      </c>
      <c r="C9">
        <f>E8*$B$3/12</f>
        <v/>
      </c>
      <c r="D9">
        <f>B9-C9</f>
        <v/>
      </c>
      <c r="E9">
        <f>E8-D9</f>
        <v/>
      </c>
    </row>
    <row r="10">
      <c r="A10" t="n">
        <v>2</v>
      </c>
      <c r="B10">
        <f>$B$5</f>
        <v/>
      </c>
      <c r="C10">
        <f>E9*$B$3/12</f>
        <v/>
      </c>
      <c r="D10">
        <f>B10-C10</f>
        <v/>
      </c>
      <c r="E10">
        <f>E9-D10</f>
        <v/>
      </c>
    </row>
    <row r="11">
      <c r="A11" t="n">
        <v>3</v>
      </c>
      <c r="B11">
        <f>$B$5</f>
        <v/>
      </c>
      <c r="C11">
        <f>E10*$B$3/12</f>
        <v/>
      </c>
      <c r="D11">
        <f>B11-C11</f>
        <v/>
      </c>
      <c r="E11">
        <f>E10-D11</f>
        <v/>
      </c>
    </row>
    <row r="12">
      <c r="A12" t="n">
        <v>4</v>
      </c>
      <c r="B12">
        <f>$B$5</f>
        <v/>
      </c>
      <c r="C12">
        <f>E11*$B$3/12</f>
        <v/>
      </c>
      <c r="D12">
        <f>B12-C12</f>
        <v/>
      </c>
      <c r="E12">
        <f>E11-D12</f>
        <v/>
      </c>
    </row>
    <row r="13">
      <c r="A13" t="n">
        <v>5</v>
      </c>
      <c r="B13">
        <f>$B$5</f>
        <v/>
      </c>
      <c r="C13">
        <f>E12*$B$3/12</f>
        <v/>
      </c>
      <c r="D13">
        <f>B13-C13</f>
        <v/>
      </c>
      <c r="E13">
        <f>E12-D13</f>
        <v/>
      </c>
    </row>
    <row r="14">
      <c r="A14" t="n">
        <v>6</v>
      </c>
      <c r="B14">
        <f>$B$5</f>
        <v/>
      </c>
      <c r="C14">
        <f>E13*$B$3/12</f>
        <v/>
      </c>
      <c r="D14">
        <f>B14-C14</f>
        <v/>
      </c>
      <c r="E14">
        <f>E13-D14</f>
        <v/>
      </c>
    </row>
    <row r="15">
      <c r="A15" t="n">
        <v>7</v>
      </c>
      <c r="B15">
        <f>$B$5</f>
        <v/>
      </c>
      <c r="C15">
        <f>E14*$B$3/12</f>
        <v/>
      </c>
      <c r="D15">
        <f>B15-C15</f>
        <v/>
      </c>
      <c r="E15">
        <f>E14-D15</f>
        <v/>
      </c>
    </row>
    <row r="16">
      <c r="A16" t="n">
        <v>8</v>
      </c>
      <c r="B16">
        <f>$B$5</f>
        <v/>
      </c>
      <c r="C16">
        <f>E15*$B$3/12</f>
        <v/>
      </c>
      <c r="D16">
        <f>B16-C16</f>
        <v/>
      </c>
      <c r="E16">
        <f>E15-D16</f>
        <v/>
      </c>
    </row>
    <row r="17">
      <c r="A17" t="n">
        <v>9</v>
      </c>
      <c r="B17">
        <f>$B$5</f>
        <v/>
      </c>
      <c r="C17">
        <f>E16*$B$3/12</f>
        <v/>
      </c>
      <c r="D17">
        <f>B17-C17</f>
        <v/>
      </c>
      <c r="E17">
        <f>E16-D17</f>
        <v/>
      </c>
    </row>
    <row r="18">
      <c r="A18" t="n">
        <v>10</v>
      </c>
      <c r="B18">
        <f>$B$5</f>
        <v/>
      </c>
      <c r="C18">
        <f>E17*$B$3/12</f>
        <v/>
      </c>
      <c r="D18">
        <f>B18-C18</f>
        <v/>
      </c>
      <c r="E18">
        <f>E17-D18</f>
        <v/>
      </c>
    </row>
    <row r="19">
      <c r="A19" t="n">
        <v>11</v>
      </c>
      <c r="B19">
        <f>$B$5</f>
        <v/>
      </c>
      <c r="C19">
        <f>E18*$B$3/12</f>
        <v/>
      </c>
      <c r="D19">
        <f>B19-C19</f>
        <v/>
      </c>
      <c r="E19">
        <f>E18-D19</f>
        <v/>
      </c>
    </row>
    <row r="20">
      <c r="A20" t="n">
        <v>12</v>
      </c>
      <c r="B20">
        <f>$B$5</f>
        <v/>
      </c>
      <c r="C20">
        <f>E19*$B$3/12</f>
        <v/>
      </c>
      <c r="D20">
        <f>B20-C20</f>
        <v/>
      </c>
      <c r="E20">
        <f>E19-D20</f>
        <v/>
      </c>
    </row>
    <row r="21">
      <c r="A21" t="n">
        <v>13</v>
      </c>
      <c r="B21">
        <f>$B$5</f>
        <v/>
      </c>
      <c r="C21">
        <f>E20*$B$3/12</f>
        <v/>
      </c>
      <c r="D21">
        <f>B21-C21</f>
        <v/>
      </c>
      <c r="E21">
        <f>E20-D21</f>
        <v/>
      </c>
    </row>
    <row r="22">
      <c r="A22" t="n">
        <v>14</v>
      </c>
      <c r="B22">
        <f>$B$5</f>
        <v/>
      </c>
      <c r="C22">
        <f>E21*$B$3/12</f>
        <v/>
      </c>
      <c r="D22">
        <f>B22-C22</f>
        <v/>
      </c>
      <c r="E22">
        <f>E21-D22</f>
        <v/>
      </c>
    </row>
    <row r="23">
      <c r="A23" t="n">
        <v>15</v>
      </c>
      <c r="B23">
        <f>$B$5</f>
        <v/>
      </c>
      <c r="C23">
        <f>E22*$B$3/12</f>
        <v/>
      </c>
      <c r="D23">
        <f>B23-C23</f>
        <v/>
      </c>
      <c r="E23">
        <f>E22-D23</f>
        <v/>
      </c>
    </row>
    <row r="24">
      <c r="A24" t="n">
        <v>16</v>
      </c>
      <c r="B24">
        <f>$B$5</f>
        <v/>
      </c>
      <c r="C24">
        <f>E23*$B$3/12</f>
        <v/>
      </c>
      <c r="D24">
        <f>B24-C24</f>
        <v/>
      </c>
      <c r="E24">
        <f>E23-D24</f>
        <v/>
      </c>
    </row>
    <row r="25">
      <c r="A25" t="n">
        <v>17</v>
      </c>
      <c r="B25">
        <f>$B$5</f>
        <v/>
      </c>
      <c r="C25">
        <f>E24*$B$3/12</f>
        <v/>
      </c>
      <c r="D25">
        <f>B25-C25</f>
        <v/>
      </c>
      <c r="E25">
        <f>E24-D25</f>
        <v/>
      </c>
    </row>
    <row r="26">
      <c r="A26" t="n">
        <v>18</v>
      </c>
      <c r="B26">
        <f>$B$5</f>
        <v/>
      </c>
      <c r="C26">
        <f>E25*$B$3/12</f>
        <v/>
      </c>
      <c r="D26">
        <f>B26-C26</f>
        <v/>
      </c>
      <c r="E26">
        <f>E25-D26</f>
        <v/>
      </c>
    </row>
    <row r="27">
      <c r="A27" t="n">
        <v>19</v>
      </c>
      <c r="B27">
        <f>$B$5</f>
        <v/>
      </c>
      <c r="C27">
        <f>E26*$B$3/12</f>
        <v/>
      </c>
      <c r="D27">
        <f>B27-C27</f>
        <v/>
      </c>
      <c r="E27">
        <f>E26-D27</f>
        <v/>
      </c>
    </row>
    <row r="28">
      <c r="A28" t="n">
        <v>20</v>
      </c>
      <c r="B28">
        <f>$B$5</f>
        <v/>
      </c>
      <c r="C28">
        <f>E27*$B$3/12</f>
        <v/>
      </c>
      <c r="D28">
        <f>B28-C28</f>
        <v/>
      </c>
      <c r="E28">
        <f>E27-D28</f>
        <v/>
      </c>
    </row>
    <row r="29">
      <c r="A29" t="n">
        <v>21</v>
      </c>
      <c r="B29">
        <f>$B$5</f>
        <v/>
      </c>
      <c r="C29">
        <f>E28*$B$3/12</f>
        <v/>
      </c>
      <c r="D29">
        <f>B29-C29</f>
        <v/>
      </c>
      <c r="E29">
        <f>E28-D29</f>
        <v/>
      </c>
    </row>
    <row r="30">
      <c r="A30" t="n">
        <v>22</v>
      </c>
      <c r="B30">
        <f>$B$5</f>
        <v/>
      </c>
      <c r="C30">
        <f>E29*$B$3/12</f>
        <v/>
      </c>
      <c r="D30">
        <f>B30-C30</f>
        <v/>
      </c>
      <c r="E30">
        <f>E29-D30</f>
        <v/>
      </c>
    </row>
    <row r="31">
      <c r="A31" t="n">
        <v>23</v>
      </c>
      <c r="B31">
        <f>$B$5</f>
        <v/>
      </c>
      <c r="C31">
        <f>E30*$B$3/12</f>
        <v/>
      </c>
      <c r="D31">
        <f>B31-C31</f>
        <v/>
      </c>
      <c r="E31">
        <f>E30-D31</f>
        <v/>
      </c>
    </row>
    <row r="32">
      <c r="A32" t="n">
        <v>24</v>
      </c>
      <c r="B32">
        <f>$B$5</f>
        <v/>
      </c>
      <c r="C32">
        <f>E31*$B$3/12</f>
        <v/>
      </c>
      <c r="D32">
        <f>B32-C32</f>
        <v/>
      </c>
      <c r="E32">
        <f>E31-D32</f>
        <v/>
      </c>
    </row>
    <row r="33">
      <c r="A33" t="n">
        <v>25</v>
      </c>
      <c r="B33">
        <f>$B$5</f>
        <v/>
      </c>
      <c r="C33">
        <f>E32*$B$3/12</f>
        <v/>
      </c>
      <c r="D33">
        <f>B33-C33</f>
        <v/>
      </c>
      <c r="E33">
        <f>E32-D33</f>
        <v/>
      </c>
    </row>
    <row r="34">
      <c r="A34" t="n">
        <v>26</v>
      </c>
      <c r="B34">
        <f>$B$5</f>
        <v/>
      </c>
      <c r="C34">
        <f>E33*$B$3/12</f>
        <v/>
      </c>
      <c r="D34">
        <f>B34-C34</f>
        <v/>
      </c>
      <c r="E34">
        <f>E33-D34</f>
        <v/>
      </c>
    </row>
    <row r="35">
      <c r="A35" t="n">
        <v>27</v>
      </c>
      <c r="B35">
        <f>$B$5</f>
        <v/>
      </c>
      <c r="C35">
        <f>E34*$B$3/12</f>
        <v/>
      </c>
      <c r="D35">
        <f>B35-C35</f>
        <v/>
      </c>
      <c r="E35">
        <f>E34-D35</f>
        <v/>
      </c>
    </row>
    <row r="36">
      <c r="A36" t="n">
        <v>28</v>
      </c>
      <c r="B36">
        <f>$B$5</f>
        <v/>
      </c>
      <c r="C36">
        <f>E35*$B$3/12</f>
        <v/>
      </c>
      <c r="D36">
        <f>B36-C36</f>
        <v/>
      </c>
      <c r="E36">
        <f>E35-D36</f>
        <v/>
      </c>
    </row>
    <row r="37">
      <c r="A37" t="n">
        <v>29</v>
      </c>
      <c r="B37">
        <f>$B$5</f>
        <v/>
      </c>
      <c r="C37">
        <f>E36*$B$3/12</f>
        <v/>
      </c>
      <c r="D37">
        <f>B37-C37</f>
        <v/>
      </c>
      <c r="E37">
        <f>E36-D37</f>
        <v/>
      </c>
    </row>
    <row r="38">
      <c r="A38" t="n">
        <v>30</v>
      </c>
      <c r="B38">
        <f>$B$5</f>
        <v/>
      </c>
      <c r="C38">
        <f>E37*$B$3/12</f>
        <v/>
      </c>
      <c r="D38">
        <f>B38-C38</f>
        <v/>
      </c>
      <c r="E38">
        <f>E37-D38</f>
        <v/>
      </c>
    </row>
    <row r="39">
      <c r="A39" t="n">
        <v>31</v>
      </c>
      <c r="B39">
        <f>$B$5</f>
        <v/>
      </c>
      <c r="C39">
        <f>E38*$B$3/12</f>
        <v/>
      </c>
      <c r="D39">
        <f>B39-C39</f>
        <v/>
      </c>
      <c r="E39">
        <f>E38-D39</f>
        <v/>
      </c>
    </row>
    <row r="40">
      <c r="A40" t="n">
        <v>32</v>
      </c>
      <c r="B40">
        <f>$B$5</f>
        <v/>
      </c>
      <c r="C40">
        <f>E39*$B$3/12</f>
        <v/>
      </c>
      <c r="D40">
        <f>B40-C40</f>
        <v/>
      </c>
      <c r="E40">
        <f>E39-D40</f>
        <v/>
      </c>
    </row>
    <row r="41">
      <c r="A41" t="n">
        <v>33</v>
      </c>
      <c r="B41">
        <f>$B$5</f>
        <v/>
      </c>
      <c r="C41">
        <f>E40*$B$3/12</f>
        <v/>
      </c>
      <c r="D41">
        <f>B41-C41</f>
        <v/>
      </c>
      <c r="E41">
        <f>E40-D41</f>
        <v/>
      </c>
    </row>
    <row r="42">
      <c r="A42" t="n">
        <v>34</v>
      </c>
      <c r="B42">
        <f>$B$5</f>
        <v/>
      </c>
      <c r="C42">
        <f>E41*$B$3/12</f>
        <v/>
      </c>
      <c r="D42">
        <f>B42-C42</f>
        <v/>
      </c>
      <c r="E42">
        <f>E41-D42</f>
        <v/>
      </c>
    </row>
    <row r="43">
      <c r="A43" t="n">
        <v>35</v>
      </c>
      <c r="B43">
        <f>$B$5</f>
        <v/>
      </c>
      <c r="C43">
        <f>E42*$B$3/12</f>
        <v/>
      </c>
      <c r="D43">
        <f>B43-C43</f>
        <v/>
      </c>
      <c r="E43">
        <f>E42-D43</f>
        <v/>
      </c>
    </row>
    <row r="44">
      <c r="A44" t="n">
        <v>36</v>
      </c>
      <c r="B44">
        <f>$B$5</f>
        <v/>
      </c>
      <c r="C44">
        <f>E43*$B$3/12</f>
        <v/>
      </c>
      <c r="D44">
        <f>B44-C44</f>
        <v/>
      </c>
      <c r="E44">
        <f>E43-D44</f>
        <v/>
      </c>
    </row>
    <row r="45">
      <c r="A45" t="n">
        <v>37</v>
      </c>
      <c r="B45">
        <f>$B$5</f>
        <v/>
      </c>
      <c r="C45">
        <f>E44*$B$3/12</f>
        <v/>
      </c>
      <c r="D45">
        <f>B45-C45</f>
        <v/>
      </c>
      <c r="E45">
        <f>E44-D45</f>
        <v/>
      </c>
    </row>
    <row r="46">
      <c r="A46" t="n">
        <v>38</v>
      </c>
      <c r="B46">
        <f>$B$5</f>
        <v/>
      </c>
      <c r="C46">
        <f>E45*$B$3/12</f>
        <v/>
      </c>
      <c r="D46">
        <f>B46-C46</f>
        <v/>
      </c>
      <c r="E46">
        <f>E45-D46</f>
        <v/>
      </c>
    </row>
    <row r="47">
      <c r="A47" t="n">
        <v>39</v>
      </c>
      <c r="B47">
        <f>$B$5</f>
        <v/>
      </c>
      <c r="C47">
        <f>E46*$B$3/12</f>
        <v/>
      </c>
      <c r="D47">
        <f>B47-C47</f>
        <v/>
      </c>
      <c r="E47">
        <f>E46-D47</f>
        <v/>
      </c>
    </row>
    <row r="48">
      <c r="A48" t="n">
        <v>40</v>
      </c>
      <c r="B48">
        <f>$B$5</f>
        <v/>
      </c>
      <c r="C48">
        <f>E47*$B$3/12</f>
        <v/>
      </c>
      <c r="D48">
        <f>B48-C48</f>
        <v/>
      </c>
      <c r="E48">
        <f>E47-D48</f>
        <v/>
      </c>
    </row>
    <row r="49">
      <c r="A49" t="n">
        <v>41</v>
      </c>
      <c r="B49">
        <f>$B$5</f>
        <v/>
      </c>
      <c r="C49">
        <f>E48*$B$3/12</f>
        <v/>
      </c>
      <c r="D49">
        <f>B49-C49</f>
        <v/>
      </c>
      <c r="E49">
        <f>E48-D49</f>
        <v/>
      </c>
    </row>
    <row r="50">
      <c r="A50" t="n">
        <v>42</v>
      </c>
      <c r="B50">
        <f>$B$5</f>
        <v/>
      </c>
      <c r="C50">
        <f>E49*$B$3/12</f>
        <v/>
      </c>
      <c r="D50">
        <f>B50-C50</f>
        <v/>
      </c>
      <c r="E50">
        <f>E49-D50</f>
        <v/>
      </c>
    </row>
    <row r="51">
      <c r="A51" t="n">
        <v>43</v>
      </c>
      <c r="B51">
        <f>$B$5</f>
        <v/>
      </c>
      <c r="C51">
        <f>E50*$B$3/12</f>
        <v/>
      </c>
      <c r="D51">
        <f>B51-C51</f>
        <v/>
      </c>
      <c r="E51">
        <f>E50-D51</f>
        <v/>
      </c>
    </row>
    <row r="52">
      <c r="A52" t="n">
        <v>44</v>
      </c>
      <c r="B52">
        <f>$B$5</f>
        <v/>
      </c>
      <c r="C52">
        <f>E51*$B$3/12</f>
        <v/>
      </c>
      <c r="D52">
        <f>B52-C52</f>
        <v/>
      </c>
      <c r="E52">
        <f>E51-D52</f>
        <v/>
      </c>
    </row>
    <row r="53">
      <c r="A53" t="n">
        <v>45</v>
      </c>
      <c r="B53">
        <f>$B$5</f>
        <v/>
      </c>
      <c r="C53">
        <f>E52*$B$3/12</f>
        <v/>
      </c>
      <c r="D53">
        <f>B53-C53</f>
        <v/>
      </c>
      <c r="E53">
        <f>E52-D53</f>
        <v/>
      </c>
    </row>
    <row r="54">
      <c r="A54" t="n">
        <v>46</v>
      </c>
      <c r="B54">
        <f>$B$5</f>
        <v/>
      </c>
      <c r="C54">
        <f>E53*$B$3/12</f>
        <v/>
      </c>
      <c r="D54">
        <f>B54-C54</f>
        <v/>
      </c>
      <c r="E54">
        <f>E53-D54</f>
        <v/>
      </c>
    </row>
    <row r="55">
      <c r="A55" t="n">
        <v>47</v>
      </c>
      <c r="B55">
        <f>$B$5</f>
        <v/>
      </c>
      <c r="C55">
        <f>E54*$B$3/12</f>
        <v/>
      </c>
      <c r="D55">
        <f>B55-C55</f>
        <v/>
      </c>
      <c r="E55">
        <f>E54-D55</f>
        <v/>
      </c>
    </row>
    <row r="56">
      <c r="A56" t="n">
        <v>48</v>
      </c>
      <c r="B56">
        <f>$B$5</f>
        <v/>
      </c>
      <c r="C56">
        <f>E55*$B$3/12</f>
        <v/>
      </c>
      <c r="D56">
        <f>B56-C56</f>
        <v/>
      </c>
      <c r="E56">
        <f>E55-D56</f>
        <v/>
      </c>
    </row>
    <row r="57">
      <c r="A57" t="n">
        <v>49</v>
      </c>
      <c r="B57">
        <f>$B$5</f>
        <v/>
      </c>
      <c r="C57">
        <f>E56*$B$3/12</f>
        <v/>
      </c>
      <c r="D57">
        <f>B57-C57</f>
        <v/>
      </c>
      <c r="E57">
        <f>E56-D57</f>
        <v/>
      </c>
    </row>
    <row r="58">
      <c r="A58" t="n">
        <v>50</v>
      </c>
      <c r="B58">
        <f>$B$5</f>
        <v/>
      </c>
      <c r="C58">
        <f>E57*$B$3/12</f>
        <v/>
      </c>
      <c r="D58">
        <f>B58-C58</f>
        <v/>
      </c>
      <c r="E58">
        <f>E57-D58</f>
        <v/>
      </c>
    </row>
    <row r="59">
      <c r="A59" t="n">
        <v>51</v>
      </c>
      <c r="B59">
        <f>$B$5</f>
        <v/>
      </c>
      <c r="C59">
        <f>E58*$B$3/12</f>
        <v/>
      </c>
      <c r="D59">
        <f>B59-C59</f>
        <v/>
      </c>
      <c r="E59">
        <f>E58-D59</f>
        <v/>
      </c>
    </row>
    <row r="60">
      <c r="A60" t="n">
        <v>52</v>
      </c>
      <c r="B60">
        <f>$B$5</f>
        <v/>
      </c>
      <c r="C60">
        <f>E59*$B$3/12</f>
        <v/>
      </c>
      <c r="D60">
        <f>B60-C60</f>
        <v/>
      </c>
      <c r="E60">
        <f>E59-D60</f>
        <v/>
      </c>
    </row>
    <row r="61">
      <c r="A61" t="n">
        <v>53</v>
      </c>
      <c r="B61">
        <f>$B$5</f>
        <v/>
      </c>
      <c r="C61">
        <f>E60*$B$3/12</f>
        <v/>
      </c>
      <c r="D61">
        <f>B61-C61</f>
        <v/>
      </c>
      <c r="E61">
        <f>E60-D61</f>
        <v/>
      </c>
    </row>
    <row r="62">
      <c r="A62" t="n">
        <v>54</v>
      </c>
      <c r="B62">
        <f>$B$5</f>
        <v/>
      </c>
      <c r="C62">
        <f>E61*$B$3/12</f>
        <v/>
      </c>
      <c r="D62">
        <f>B62-C62</f>
        <v/>
      </c>
      <c r="E62">
        <f>E61-D62</f>
        <v/>
      </c>
    </row>
    <row r="63">
      <c r="A63" t="n">
        <v>55</v>
      </c>
      <c r="B63">
        <f>$B$5</f>
        <v/>
      </c>
      <c r="C63">
        <f>E62*$B$3/12</f>
        <v/>
      </c>
      <c r="D63">
        <f>B63-C63</f>
        <v/>
      </c>
      <c r="E63">
        <f>E62-D63</f>
        <v/>
      </c>
    </row>
    <row r="64">
      <c r="A64" t="n">
        <v>56</v>
      </c>
      <c r="B64">
        <f>$B$5</f>
        <v/>
      </c>
      <c r="C64">
        <f>E63*$B$3/12</f>
        <v/>
      </c>
      <c r="D64">
        <f>B64-C64</f>
        <v/>
      </c>
      <c r="E64">
        <f>E63-D64</f>
        <v/>
      </c>
    </row>
    <row r="65">
      <c r="A65" t="n">
        <v>57</v>
      </c>
      <c r="B65">
        <f>$B$5</f>
        <v/>
      </c>
      <c r="C65">
        <f>E64*$B$3/12</f>
        <v/>
      </c>
      <c r="D65">
        <f>B65-C65</f>
        <v/>
      </c>
      <c r="E65">
        <f>E64-D65</f>
        <v/>
      </c>
    </row>
    <row r="66">
      <c r="A66" t="n">
        <v>58</v>
      </c>
      <c r="B66">
        <f>$B$5</f>
        <v/>
      </c>
      <c r="C66">
        <f>E65*$B$3/12</f>
        <v/>
      </c>
      <c r="D66">
        <f>B66-C66</f>
        <v/>
      </c>
      <c r="E66">
        <f>E65-D66</f>
        <v/>
      </c>
    </row>
    <row r="67">
      <c r="A67" t="n">
        <v>59</v>
      </c>
      <c r="B67">
        <f>$B$5</f>
        <v/>
      </c>
      <c r="C67">
        <f>E66*$B$3/12</f>
        <v/>
      </c>
      <c r="D67">
        <f>B67-C67</f>
        <v/>
      </c>
      <c r="E67">
        <f>E66-D67</f>
        <v/>
      </c>
    </row>
    <row r="68">
      <c r="A68" t="n">
        <v>60</v>
      </c>
      <c r="B68">
        <f>$B$5</f>
        <v/>
      </c>
      <c r="C68">
        <f>E67*$B$3/12</f>
        <v/>
      </c>
      <c r="D68">
        <f>B68-C68</f>
        <v/>
      </c>
      <c r="E68">
        <f>E67-D68</f>
        <v/>
      </c>
    </row>
    <row r="70">
      <c r="A70" t="inlineStr">
        <is>
          <t>Total interest</t>
        </is>
      </c>
      <c r="B70">
        <f>SUM(C9:C68)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2026-09-10T11:27:48Z</dcterms:created>
  <dcterms:modified xmlns:dcterms="http://purl.org/dc/terms/" xmlns:xsi="http://www.w3.org/2001/XMLSchema-instance" xsi:type="dcterms:W3CDTF">2026-09-10T11:27:48Z</dcterms:modified>
</cp:coreProperties>
</file>