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put" sheetId="2" state="visible" r:id="rId2"/>
    <sheet xmlns:r="http://schemas.openxmlformats.org/officeDocument/2006/relationships" name="Model" sheetId="3" state="visible" r:id="rId3"/>
    <sheet xmlns:r="http://schemas.openxmlformats.org/officeDocument/2006/relationships" name="Unit Economics" sheetId="4" state="visible" r:id="rId4"/>
    <sheet xmlns:r="http://schemas.openxmlformats.org/officeDocument/2006/relationships" name="Rule of 40" sheetId="5" state="visible" r:id="rId5"/>
    <sheet xmlns:r="http://schemas.openxmlformats.org/officeDocument/2006/relationships" name="Reconciliation" sheetId="6" state="visible" r:id="rId6"/>
    <sheet xmlns:r="http://schemas.openxmlformats.org/officeDocument/2006/relationships" name="Projections" sheetId="7" state="visible" r:id="rId7"/>
  </sheets>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7">
    <font>
      <name val="Calibri"/>
      <family val="2"/>
      <color theme="1"/>
      <sz val="11"/>
      <scheme val="minor"/>
    </font>
    <font>
      <name val="Calibri"/>
      <b val="1"/>
      <color rgb="001C5CAB"/>
      <sz val="22"/>
    </font>
    <font>
      <name val="Calibri"/>
      <color rgb="00898781"/>
      <sz val="11"/>
    </font>
    <font>
      <name val="Calibri"/>
      <b val="1"/>
      <color rgb="001C5CAB"/>
      <sz val="12"/>
    </font>
    <font>
      <name val="Calibri"/>
      <color rgb="000B0B0B"/>
      <sz val="11"/>
    </font>
    <font>
      <name val="Calibri"/>
      <b val="1"/>
      <color rgb="000B0B0B"/>
      <sz val="11"/>
    </font>
    <font>
      <name val="Calibri"/>
      <color rgb="003A3A38"/>
      <sz val="11"/>
    </font>
    <font>
      <name val="Calibri"/>
      <b val="1"/>
      <color rgb="002A78D6"/>
      <sz val="11"/>
    </font>
    <font>
      <name val="Calibri"/>
      <i val="1"/>
      <color rgb="00898781"/>
      <sz val="10"/>
    </font>
    <font>
      <name val="Calibri"/>
      <b val="1"/>
      <color rgb="001C5CAB"/>
      <sz val="14"/>
    </font>
    <font>
      <b val="1"/>
      <color rgb="00FFFFFF"/>
      <sz val="11"/>
    </font>
    <font>
      <name val="Calibri"/>
      <b val="1"/>
      <color rgb="00898781"/>
      <sz val="10"/>
    </font>
    <font>
      <b val="1"/>
      <color rgb="00898781"/>
      <sz val="10"/>
    </font>
    <font>
      <b val="1"/>
      <color rgb="00FFFFFF"/>
      <sz val="10"/>
    </font>
    <font>
      <name val="Calibri"/>
      <b val="1"/>
      <color rgb="00FFFFFF"/>
      <sz val="11"/>
    </font>
    <font>
      <b val="1"/>
      <color rgb="00FFFFFF"/>
    </font>
    <font>
      <name val="Calibri"/>
      <color rgb="003A3A38"/>
      <sz val="10"/>
    </font>
  </fonts>
  <fills count="4">
    <fill>
      <patternFill/>
    </fill>
    <fill>
      <patternFill patternType="gray125"/>
    </fill>
    <fill>
      <patternFill patternType="solid">
        <fgColor rgb="001C5CAB"/>
      </patternFill>
    </fill>
    <fill>
      <patternFill patternType="solid">
        <fgColor rgb="00F9F9F7"/>
      </patternFill>
    </fill>
  </fills>
  <borders count="4">
    <border>
      <left/>
      <right/>
      <top/>
      <bottom/>
      <diagonal/>
    </border>
    <border>
      <left style="thin">
        <color rgb="00E1E0D9"/>
      </left>
      <right style="thin">
        <color rgb="00E1E0D9"/>
      </right>
      <top style="medium">
        <color rgb="00C3C2B7"/>
      </top>
      <bottom style="medium">
        <color rgb="00C3C2B7"/>
      </bottom>
    </border>
    <border>
      <left style="hair">
        <color rgb="00E1E0D9"/>
      </left>
      <right style="hair">
        <color rgb="00E1E0D9"/>
      </right>
      <bottom style="hair">
        <color rgb="00E1E0D9"/>
      </bottom>
    </border>
    <border>
      <top style="medium">
        <color rgb="00C3C2B7"/>
      </top>
      <bottom style="medium">
        <color rgb="00C3C2B7"/>
      </bottom>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2" borderId="1" applyAlignment="1" pivotButton="0" quotePrefix="0" xfId="0">
      <alignment horizontal="center"/>
    </xf>
    <xf numFmtId="0" fontId="0" fillId="0" borderId="2" applyAlignment="1" pivotButton="0" quotePrefix="0" xfId="0">
      <alignment horizontal="center"/>
    </xf>
    <xf numFmtId="4" fontId="0" fillId="0" borderId="2" pivotButton="0" quotePrefix="0" xfId="0"/>
    <xf numFmtId="3" fontId="0" fillId="0" borderId="2" pivotButton="0" quotePrefix="0" xfId="0"/>
    <xf numFmtId="0" fontId="0" fillId="3" borderId="2" applyAlignment="1" pivotButton="0" quotePrefix="0" xfId="0">
      <alignment horizontal="center"/>
    </xf>
    <xf numFmtId="4" fontId="0" fillId="3" borderId="2" pivotButton="0" quotePrefix="0" xfId="0"/>
    <xf numFmtId="3" fontId="0" fillId="3" borderId="2" pivotButton="0" quotePrefix="0" xfId="0"/>
    <xf numFmtId="0" fontId="11" fillId="0" borderId="0" applyAlignment="1" pivotButton="0" quotePrefix="0" xfId="0">
      <alignment horizontal="left" vertical="center"/>
    </xf>
    <xf numFmtId="0" fontId="12" fillId="0" borderId="0" pivotButton="0" quotePrefix="0" xfId="0"/>
    <xf numFmtId="0" fontId="13" fillId="2" borderId="1" applyAlignment="1" pivotButton="0" quotePrefix="0" xfId="0">
      <alignment horizontal="center" wrapText="1"/>
    </xf>
    <xf numFmtId="164" fontId="0" fillId="0" borderId="2" pivotButton="0" quotePrefix="0" xfId="0"/>
    <xf numFmtId="165" fontId="0" fillId="0" borderId="2" pivotButton="0" quotePrefix="0" xfId="0"/>
    <xf numFmtId="166" fontId="0" fillId="0" borderId="2" pivotButton="0" quotePrefix="0" xfId="0"/>
    <xf numFmtId="164" fontId="0" fillId="3" borderId="2" pivotButton="0" quotePrefix="0" xfId="0"/>
    <xf numFmtId="165" fontId="0" fillId="3" borderId="2" pivotButton="0" quotePrefix="0" xfId="0"/>
    <xf numFmtId="166" fontId="0" fillId="3" borderId="2" pivotButton="0" quotePrefix="0" xfId="0"/>
    <xf numFmtId="0" fontId="15" fillId="2" borderId="3" applyAlignment="1" pivotButton="0" quotePrefix="0" xfId="0">
      <alignment horizontal="left"/>
    </xf>
    <xf numFmtId="0" fontId="15" fillId="2" borderId="3" pivotButton="0" quotePrefix="0" xfId="0"/>
    <xf numFmtId="3" fontId="15" fillId="2" borderId="3" pivotButton="0" quotePrefix="0" xfId="0"/>
    <xf numFmtId="164" fontId="15" fillId="2" borderId="3" pivotButton="0" quotePrefix="0" xfId="0"/>
    <xf numFmtId="0" fontId="0" fillId="0" borderId="2" pivotButton="0" quotePrefix="0" xfId="0"/>
    <xf numFmtId="2" fontId="0" fillId="0" borderId="2" pivotButton="0" quotePrefix="0" xfId="0"/>
    <xf numFmtId="0" fontId="0" fillId="3" borderId="2" pivotButton="0" quotePrefix="0" xfId="0"/>
    <xf numFmtId="2" fontId="0" fillId="3" borderId="2" pivotButton="0" quotePrefix="0" xfId="0"/>
    <xf numFmtId="0" fontId="14" fillId="2" borderId="0" applyAlignment="1" pivotButton="0" quotePrefix="0" xfId="0">
      <alignment horizontal="left" vertical="center"/>
    </xf>
    <xf numFmtId="166" fontId="15" fillId="2" borderId="3" pivotButton="0" quotePrefix="0" xfId="0"/>
    <xf numFmtId="0" fontId="8" fillId="0" borderId="0" applyAlignment="1" pivotButton="0" quotePrefix="0" xfId="0">
      <alignment horizontal="left" vertical="center" wrapText="1"/>
    </xf>
    <xf numFmtId="165" fontId="0" fillId="0" borderId="2" applyAlignment="1" pivotButton="0" quotePrefix="0" xfId="0">
      <alignment horizontal="right"/>
    </xf>
    <xf numFmtId="0" fontId="16" fillId="0" borderId="2" applyAlignment="1" pivotButton="0" quotePrefix="0" xfId="0">
      <alignment horizontal="left" vertical="center" wrapText="1"/>
    </xf>
    <xf numFmtId="0" fontId="5" fillId="3" borderId="0" applyAlignment="1" pivotButton="0" quotePrefix="0" xfId="0">
      <alignment horizontal="left" vertical="center"/>
    </xf>
    <xf numFmtId="165" fontId="0" fillId="3" borderId="2" applyAlignment="1" pivotButton="0" quotePrefix="0" xfId="0">
      <alignment horizontal="right"/>
    </xf>
    <xf numFmtId="0" fontId="16" fillId="3" borderId="2" applyAlignment="1" pivotButton="0" quotePrefix="0" xfId="0">
      <alignment horizontal="left" vertical="center" wrapText="1"/>
    </xf>
    <xf numFmtId="2" fontId="0" fillId="0" borderId="2" applyAlignment="1" pivotButton="0" quotePrefix="0" xfId="0">
      <alignment horizontal="right"/>
    </xf>
    <xf numFmtId="0" fontId="4" fillId="0" borderId="0" applyAlignment="1" pivotButton="0" quotePrefix="0" xfId="0">
      <alignment horizontal="left" vertical="center"/>
    </xf>
    <xf numFmtId="164" fontId="0" fillId="0" borderId="0" pivotButton="0" quotePrefix="0" xfId="0"/>
    <xf numFmtId="166" fontId="0" fillId="0" borderId="0" pivotButton="0" quotePrefix="0" xfId="0"/>
    <xf numFmtId="167"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Monthly Recurring Revenue (MRR)</a:t>
            </a:r>
          </a:p>
        </rich>
      </tx>
    </title>
    <plotArea>
      <lineChart>
        <grouping val="standard"/>
        <ser>
          <idx val="0"/>
          <order val="0"/>
          <tx>
            <strRef>
              <f>'Model'!G4</f>
            </strRef>
          </tx>
          <spPr>
            <a:ln xmlns:a="http://schemas.openxmlformats.org/drawingml/2006/main" w="22000">
              <a:solidFill>
                <a:srgbClr val="2A78D6"/>
              </a:solidFill>
              <a:prstDash val="solid"/>
            </a:ln>
          </spPr>
          <marker>
            <symbol val="none"/>
            <spPr>
              <a:ln xmlns:a="http://schemas.openxmlformats.org/drawingml/2006/main">
                <a:prstDash val="solid"/>
              </a:ln>
            </spPr>
          </marker>
          <cat>
            <numRef>
              <f>'Model'!$A$5:$A$40</f>
            </numRef>
          </cat>
          <val>
            <numRef>
              <f>'Model'!$G$5:$G$40</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MRR ($)</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Customer motion — adds vs churn</a:t>
            </a:r>
          </a:p>
        </rich>
      </tx>
    </title>
    <plotArea>
      <barChart>
        <barDir val="col"/>
        <grouping val="clustered"/>
        <ser>
          <idx val="0"/>
          <order val="0"/>
          <tx>
            <strRef>
              <f>'Model'!C4</f>
            </strRef>
          </tx>
          <spPr>
            <a:solidFill xmlns:a="http://schemas.openxmlformats.org/drawingml/2006/main">
              <a:srgbClr val="1BAF7A"/>
            </a:solidFill>
            <a:ln xmlns:a="http://schemas.openxmlformats.org/drawingml/2006/main">
              <a:prstDash val="solid"/>
            </a:ln>
          </spPr>
          <cat>
            <numRef>
              <f>'Model'!$A$5:$A$40</f>
            </numRef>
          </cat>
          <val>
            <numRef>
              <f>'Model'!$C$5:$C$40</f>
            </numRef>
          </val>
        </ser>
        <ser>
          <idx val="1"/>
          <order val="1"/>
          <tx>
            <strRef>
              <f>'Model'!D4</f>
            </strRef>
          </tx>
          <spPr>
            <a:solidFill xmlns:a="http://schemas.openxmlformats.org/drawingml/2006/main">
              <a:srgbClr val="EB6834"/>
            </a:solidFill>
            <a:ln xmlns:a="http://schemas.openxmlformats.org/drawingml/2006/main">
              <a:prstDash val="solid"/>
            </a:ln>
          </spPr>
          <cat>
            <numRef>
              <f>'Model'!$A$5:$A$40</f>
            </numRef>
          </cat>
          <val>
            <numRef>
              <f>'Model'!$D$5:$D$40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Customers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CAC vs LTV (trailing 12-month)</a:t>
            </a:r>
          </a:p>
        </rich>
      </tx>
    </title>
    <plotArea>
      <lineChart>
        <grouping val="standard"/>
        <ser>
          <idx val="0"/>
          <order val="0"/>
          <tx>
            <strRef>
              <f>'Unit Economics'!H4</f>
            </strRef>
          </tx>
          <spPr>
            <a:ln xmlns:a="http://schemas.openxmlformats.org/drawingml/2006/main" w="20000">
              <a:solidFill>
                <a:srgbClr val="EB6834"/>
              </a:solidFill>
              <a:prstDash val="solid"/>
            </a:ln>
          </spPr>
          <marker>
            <symbol val="none"/>
            <spPr>
              <a:ln xmlns:a="http://schemas.openxmlformats.org/drawingml/2006/main">
                <a:prstDash val="solid"/>
              </a:ln>
            </spPr>
          </marker>
          <cat>
            <numRef>
              <f>'Unit Economics'!$A$5:$A$40</f>
            </numRef>
          </cat>
          <val>
            <numRef>
              <f>'Unit Economics'!$H$5:$H$40</f>
            </numRef>
          </val>
        </ser>
        <ser>
          <idx val="1"/>
          <order val="1"/>
          <tx>
            <strRef>
              <f>'Unit Economics'!I4</f>
            </strRef>
          </tx>
          <spPr>
            <a:ln xmlns:a="http://schemas.openxmlformats.org/drawingml/2006/main" w="20000">
              <a:solidFill>
                <a:srgbClr val="2A78D6"/>
              </a:solidFill>
              <a:prstDash val="solid"/>
            </a:ln>
          </spPr>
          <marker>
            <symbol val="none"/>
            <spPr>
              <a:ln xmlns:a="http://schemas.openxmlformats.org/drawingml/2006/main">
                <a:prstDash val="solid"/>
              </a:ln>
            </spPr>
          </marker>
          <cat>
            <numRef>
              <f>'Unit Economics'!$A$5:$A$40</f>
            </numRef>
          </cat>
          <val>
            <numRef>
              <f>'Unit Economics'!$I$5:$I$40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LTV : CAC ratio</a:t>
            </a:r>
          </a:p>
        </rich>
      </tx>
    </title>
    <plotArea>
      <lineChart>
        <grouping val="standard"/>
        <ser>
          <idx val="0"/>
          <order val="0"/>
          <tx>
            <strRef>
              <f>'Unit Economics'!J4</f>
            </strRef>
          </tx>
          <spPr>
            <a:ln xmlns:a="http://schemas.openxmlformats.org/drawingml/2006/main" w="20000">
              <a:solidFill>
                <a:srgbClr val="1BAF7A"/>
              </a:solidFill>
              <a:prstDash val="solid"/>
            </a:ln>
          </spPr>
          <marker>
            <symbol val="none"/>
            <spPr>
              <a:ln xmlns:a="http://schemas.openxmlformats.org/drawingml/2006/main">
                <a:prstDash val="solid"/>
              </a:ln>
            </spPr>
          </marker>
          <cat>
            <numRef>
              <f>'Unit Economics'!$A$5:$A$40</f>
            </numRef>
          </cat>
          <val>
            <numRef>
              <f>'Unit Economics'!$J$5:$J$40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0" sourceLinked="0"/>
        <majorTickMark val="none"/>
        <minorTickMark val="none"/>
        <crossAx val="10"/>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Rule of 40 (TTM)</a:t>
            </a:r>
          </a:p>
        </rich>
      </tx>
    </title>
    <plotArea>
      <lineChart>
        <grouping val="standard"/>
        <ser>
          <idx val="0"/>
          <order val="0"/>
          <tx>
            <strRef>
              <f>'Rule of 40'!F4</f>
            </strRef>
          </tx>
          <spPr>
            <a:ln xmlns:a="http://schemas.openxmlformats.org/drawingml/2006/main" w="22000">
              <a:solidFill>
                <a:srgbClr val="2A78D6"/>
              </a:solidFill>
              <a:prstDash val="solid"/>
            </a:ln>
          </spPr>
          <marker>
            <symbol val="none"/>
            <spPr>
              <a:ln xmlns:a="http://schemas.openxmlformats.org/drawingml/2006/main">
                <a:prstDash val="solid"/>
              </a:ln>
            </spPr>
          </marker>
          <cat>
            <numRef>
              <f>'Rule of 40'!$A$5:$A$40</f>
            </numRef>
          </cat>
          <val>
            <numRef>
              <f>'Rule of 40'!$F$5:$F$40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MRR — actual &amp; projected</a:t>
            </a:r>
          </a:p>
        </rich>
      </tx>
    </title>
    <plotArea>
      <lineChart>
        <grouping val="standard"/>
        <ser>
          <idx val="0"/>
          <order val="0"/>
          <tx>
            <strRef>
              <f>'Model'!G4</f>
            </strRef>
          </tx>
          <spPr>
            <a:ln xmlns:a="http://schemas.openxmlformats.org/drawingml/2006/main" w="20000">
              <a:solidFill>
                <a:srgbClr val="2A78D6"/>
              </a:solidFill>
              <a:prstDash val="solid"/>
            </a:ln>
          </spPr>
          <marker>
            <symbol val="none"/>
            <spPr>
              <a:ln xmlns:a="http://schemas.openxmlformats.org/drawingml/2006/main">
                <a:prstDash val="solid"/>
              </a:ln>
            </spPr>
          </marker>
          <cat>
            <numRef>
              <f>'Model'!$A$5:$A$40</f>
            </numRef>
          </cat>
          <val>
            <numRef>
              <f>'Model'!$G$5:$G$40</f>
            </numRef>
          </val>
        </ser>
        <ser>
          <idx val="1"/>
          <order val="1"/>
          <tx>
            <strRef>
              <f>'Projections'!B4</f>
            </strRef>
          </tx>
          <spPr>
            <a:ln xmlns:a="http://schemas.openxmlformats.org/drawingml/2006/main" w="20000">
              <a:solidFill>
                <a:srgbClr val="EB6834"/>
              </a:solidFill>
              <a:prstDash val="dash"/>
            </a:ln>
          </spPr>
          <marker>
            <symbol val="none"/>
            <spPr>
              <a:ln xmlns:a="http://schemas.openxmlformats.org/drawingml/2006/main">
                <a:prstDash val="solid"/>
              </a:ln>
            </spPr>
          </marker>
          <cat>
            <numRef>
              <f>'Model'!$A$5:$A$40</f>
            </numRef>
          </cat>
          <val>
            <numRef>
              <f>'Projections'!$B$5:$B$10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0</col>
      <colOff>0</colOff>
      <row>44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44</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58</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58</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44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19</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B2:B30"/>
  <sheetViews>
    <sheetView showGridLines="0" zoomScale="110" workbookViewId="0">
      <selection activeCell="A1" sqref="A1"/>
    </sheetView>
  </sheetViews>
  <sheetFormatPr baseColWidth="8" defaultRowHeight="15"/>
  <cols>
    <col width="2" customWidth="1" min="1" max="1"/>
    <col width="104" customWidth="1" min="2" max="2"/>
    <col width="2" customWidth="1" min="3" max="3"/>
  </cols>
  <sheetData>
    <row r="2">
      <c r="B2" s="1" t="inlineStr">
        <is>
          <t>Bluebell SaaS — Financial Model</t>
        </is>
      </c>
    </row>
    <row r="3">
      <c r="B3" s="2" t="inlineStr">
        <is>
          <t>Investor &amp; CFO workbook · 36-month operating history (Oct 2023 – Sep 2026)</t>
        </is>
      </c>
    </row>
    <row r="5">
      <c r="B5" s="3" t="inlineStr">
        <is>
          <t>Purpose</t>
        </is>
      </c>
    </row>
    <row r="6" ht="58" customHeight="1">
      <c r="B6" s="4" t="inlineStr">
        <is>
          <t>This workbook turns the raw monthly P&amp;L into the unit economics and growth metrics an investor update requires, computed with live Excel formulas so the CFO can flex any input and see every dependent figure recalculate. The Input sheet holds the source data verbatim; every other sheet references it.</t>
        </is>
      </c>
    </row>
    <row r="8">
      <c r="B8" s="3" t="inlineStr">
        <is>
          <t>How the model is built</t>
        </is>
      </c>
    </row>
    <row r="9">
      <c r="B9" s="5" t="inlineStr">
        <is>
          <t>1  Inputs are raw only.</t>
        </is>
      </c>
    </row>
    <row r="10" ht="44" customHeight="1">
      <c r="B10" s="6" t="inlineStr">
        <is>
          <t>The Input sheet reproduces the source workbook verbatim. No figures are edited or smoothed.</t>
        </is>
      </c>
    </row>
    <row r="11">
      <c r="B11" s="5" t="inlineStr">
        <is>
          <t>2  Live formulas, not pasted values.</t>
        </is>
      </c>
    </row>
    <row r="12" ht="44" customHeight="1">
      <c r="B12" s="6" t="inlineStr">
        <is>
          <t>Every metric on Model, Unit Economics and Rule of 40 is an Excel formula pointing at Input. Change a cell on Input and the whole model recalculates. The only hard-coded inputs are the opening customer count (120) and the assumed monthly discount rate on Projections.</t>
        </is>
      </c>
    </row>
    <row r="13">
      <c r="B13" s="5" t="inlineStr">
        <is>
          <t>3  Customer bridge.</t>
        </is>
      </c>
    </row>
    <row r="14" ht="44" customHeight="1">
      <c r="B14" s="6" t="inlineStr">
        <is>
          <t>Opening base is 120 active customers at end-Sep-2023. Each month adds new_customers and subtracts churned_customers; the running balance drives ARPA, churn rate and LTV.</t>
        </is>
      </c>
    </row>
    <row r="15">
      <c r="B15" s="5" t="inlineStr">
        <is>
          <t>4  CAC / LTV convention.</t>
        </is>
      </c>
    </row>
    <row r="16" ht="44" customHeight="1">
      <c r="B16" s="6" t="inlineStr">
        <is>
          <t>CAC = trailing-12-month sales &amp; marketing spend ÷ new customers won in the same window. LTV = ARPA × gross margin ÷ monthly churn rate, using the ending month's point-in-time ARPA and gross margin and that month's churn. CAC payback = CAC ÷ (ARPA × gross margin), in months. Conventions are applied consistently; the Reconciliation tab documents where last quarter's board deck differs.</t>
        </is>
      </c>
    </row>
    <row r="17">
      <c r="B17" s="5" t="inlineStr">
        <is>
          <t>5  Rule of 40.</t>
        </is>
      </c>
    </row>
    <row r="18" ht="44" customHeight="1">
      <c r="B18" s="6" t="inlineStr">
        <is>
          <t>Revenue growth (TTM vs prior TTM) plus the contribution-margin proxy, expressed as a percentage. See the Rule of 40 tab.</t>
        </is>
      </c>
    </row>
    <row r="19">
      <c r="B19" s="5" t="inlineStr">
        <is>
          <t>6  Projections.</t>
        </is>
      </c>
    </row>
    <row r="20" ht="44" customHeight="1">
      <c r="B20" s="6" t="inlineStr">
        <is>
          <t>The Projections tab extends the series 6 months using a linear trend on the last 3 months of MRR and a 12-month trailing average for churn and S&amp;M intensity. Clearly labelled assumptions — not guidance.</t>
        </is>
      </c>
    </row>
    <row r="22">
      <c r="B22" s="3" t="inlineStr">
        <is>
          <t>Tab guide</t>
        </is>
      </c>
    </row>
    <row r="23">
      <c r="B23" s="7" t="inlineStr">
        <is>
          <t>Raw source data — month, MRR, new/churned customers, COGS, S&amp;M spend, headcount.</t>
        </is>
      </c>
    </row>
    <row r="24">
      <c r="B24" s="7" t="inlineStr">
        <is>
          <t>Monthly operating model: customer bridge, revenue, gross profit &amp; margin, contribution, per-FTE efficiency.</t>
        </is>
      </c>
    </row>
    <row r="25">
      <c r="B25" s="7" t="inlineStr">
        <is>
          <t>CAC, LTV, payback, ARPA, churn — on a rolling trailing-12-month basis, with a quarter-end summary.</t>
        </is>
      </c>
    </row>
    <row r="26">
      <c r="B26" s="7" t="inlineStr">
        <is>
          <t>Growth + margin scorecard, TTM.</t>
        </is>
      </c>
    </row>
    <row r="27">
      <c r="B27" s="7" t="inlineStr">
        <is>
          <t>This model vs slide 7 of last quarter's board deck, deltas called out.</t>
        </is>
      </c>
    </row>
    <row r="28">
      <c r="B28" s="7" t="inlineStr">
        <is>
          <t>6-month forward look on headline metrics, assumptions stated.</t>
        </is>
      </c>
    </row>
    <row r="30">
      <c r="B30" s="8" t="inlineStr">
        <is>
          <t>Prepared 10 Sep 2026 · figures in USD unless noted · opening base 120 customers (end-Sep-2023).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2" customWidth="1" min="5" max="5"/>
    <col width="22" customWidth="1" min="6" max="6"/>
    <col width="11" customWidth="1" min="7" max="7"/>
  </cols>
  <sheetData>
    <row r="1">
      <c r="A1" s="9" t="inlineStr">
        <is>
          <t>Input — raw source data (financials.xlsx, sheet 'raw')</t>
        </is>
      </c>
    </row>
    <row r="2">
      <c r="A2" s="8" t="inlineStr">
        <is>
          <t>Reproduced verbatim. This is the only place figures are entered.</t>
        </is>
      </c>
    </row>
    <row r="4">
      <c r="A4" s="10" t="inlineStr">
        <is>
          <t>month</t>
        </is>
      </c>
      <c r="B4" s="10" t="inlineStr">
        <is>
          <t>mrr</t>
        </is>
      </c>
      <c r="C4" s="10" t="inlineStr">
        <is>
          <t>new_customers</t>
        </is>
      </c>
      <c r="D4" s="10" t="inlineStr">
        <is>
          <t>churned_customers</t>
        </is>
      </c>
      <c r="E4" s="10" t="inlineStr">
        <is>
          <t>cogs</t>
        </is>
      </c>
      <c r="F4" s="10" t="inlineStr">
        <is>
          <t>sales_marketing_spend</t>
        </is>
      </c>
      <c r="G4" s="10" t="inlineStr">
        <is>
          <t>headcount</t>
        </is>
      </c>
    </row>
    <row r="5">
      <c r="A5" s="11" t="inlineStr">
        <is>
          <t>2023-10</t>
        </is>
      </c>
      <c r="B5" s="12" t="n">
        <v>22955.41</v>
      </c>
      <c r="C5" s="13" t="n">
        <v>14</v>
      </c>
      <c r="D5" s="13" t="n">
        <v>4</v>
      </c>
      <c r="E5" s="12" t="n">
        <v>6427.51</v>
      </c>
      <c r="F5" s="12" t="n">
        <v>12146.46</v>
      </c>
      <c r="G5" s="13" t="n">
        <v>9</v>
      </c>
    </row>
    <row r="6">
      <c r="A6" s="14" t="inlineStr">
        <is>
          <t>2023-11</t>
        </is>
      </c>
      <c r="B6" s="15" t="n">
        <v>25680.63</v>
      </c>
      <c r="C6" s="16" t="n">
        <v>14</v>
      </c>
      <c r="D6" s="16" t="n">
        <v>4</v>
      </c>
      <c r="E6" s="15" t="n">
        <v>7146.55</v>
      </c>
      <c r="F6" s="15" t="n">
        <v>13079.62</v>
      </c>
      <c r="G6" s="16" t="n">
        <v>10</v>
      </c>
    </row>
    <row r="7">
      <c r="A7" s="11" t="inlineStr">
        <is>
          <t>2023-12</t>
        </is>
      </c>
      <c r="B7" s="12" t="n">
        <v>27600.88</v>
      </c>
      <c r="C7" s="13" t="n">
        <v>17</v>
      </c>
      <c r="D7" s="13" t="n">
        <v>4</v>
      </c>
      <c r="E7" s="12" t="n">
        <v>7633.61</v>
      </c>
      <c r="F7" s="12" t="n">
        <v>15396.65</v>
      </c>
      <c r="G7" s="13" t="n">
        <v>10</v>
      </c>
    </row>
    <row r="8">
      <c r="A8" s="14" t="inlineStr">
        <is>
          <t>2024-01</t>
        </is>
      </c>
      <c r="B8" s="15" t="n">
        <v>29838.64</v>
      </c>
      <c r="C8" s="16" t="n">
        <v>15</v>
      </c>
      <c r="D8" s="16" t="n">
        <v>5</v>
      </c>
      <c r="E8" s="15" t="n">
        <v>8201.360000000001</v>
      </c>
      <c r="F8" s="15" t="n">
        <v>13897.61</v>
      </c>
      <c r="G8" s="16" t="n">
        <v>11</v>
      </c>
    </row>
    <row r="9">
      <c r="A9" s="11" t="inlineStr">
        <is>
          <t>2024-02</t>
        </is>
      </c>
      <c r="B9" s="12" t="n">
        <v>31936.87</v>
      </c>
      <c r="C9" s="13" t="n">
        <v>15</v>
      </c>
      <c r="D9" s="13" t="n">
        <v>5</v>
      </c>
      <c r="E9" s="12" t="n">
        <v>8723.33</v>
      </c>
      <c r="F9" s="12" t="n">
        <v>14350.37</v>
      </c>
      <c r="G9" s="13" t="n">
        <v>12</v>
      </c>
    </row>
    <row r="10">
      <c r="A10" s="14" t="inlineStr">
        <is>
          <t>2024-03</t>
        </is>
      </c>
      <c r="B10" s="15" t="n">
        <v>34682.07</v>
      </c>
      <c r="C10" s="16" t="n">
        <v>18</v>
      </c>
      <c r="D10" s="16" t="n">
        <v>5</v>
      </c>
      <c r="E10" s="15" t="n">
        <v>9413.700000000001</v>
      </c>
      <c r="F10" s="15" t="n">
        <v>17213.82</v>
      </c>
      <c r="G10" s="16" t="n">
        <v>13</v>
      </c>
    </row>
    <row r="11">
      <c r="A11" s="11" t="inlineStr">
        <is>
          <t>2024-04</t>
        </is>
      </c>
      <c r="B11" s="12" t="n">
        <v>37305.89</v>
      </c>
      <c r="C11" s="13" t="n">
        <v>20</v>
      </c>
      <c r="D11" s="13" t="n">
        <v>6</v>
      </c>
      <c r="E11" s="12" t="n">
        <v>10061.93</v>
      </c>
      <c r="F11" s="12" t="n">
        <v>19959.66</v>
      </c>
      <c r="G11" s="13" t="n">
        <v>13</v>
      </c>
    </row>
    <row r="12">
      <c r="A12" s="14" t="inlineStr">
        <is>
          <t>2024-05</t>
        </is>
      </c>
      <c r="B12" s="15" t="n">
        <v>40825.45</v>
      </c>
      <c r="C12" s="16" t="n">
        <v>20</v>
      </c>
      <c r="D12" s="16" t="n">
        <v>6</v>
      </c>
      <c r="E12" s="15" t="n">
        <v>10941.22</v>
      </c>
      <c r="F12" s="15" t="n">
        <v>18141.63</v>
      </c>
      <c r="G12" s="16" t="n">
        <v>14</v>
      </c>
    </row>
    <row r="13">
      <c r="A13" s="11" t="inlineStr">
        <is>
          <t>2024-06</t>
        </is>
      </c>
      <c r="B13" s="12" t="n">
        <v>44263.07</v>
      </c>
      <c r="C13" s="13" t="n">
        <v>22</v>
      </c>
      <c r="D13" s="13" t="n">
        <v>6</v>
      </c>
      <c r="E13" s="12" t="n">
        <v>11786.62</v>
      </c>
      <c r="F13" s="12" t="n">
        <v>19920.09</v>
      </c>
      <c r="G13" s="13" t="n">
        <v>15</v>
      </c>
    </row>
    <row r="14">
      <c r="A14" s="14" t="inlineStr">
        <is>
          <t>2024-07</t>
        </is>
      </c>
      <c r="B14" s="15" t="n">
        <v>47951.09</v>
      </c>
      <c r="C14" s="16" t="n">
        <v>19</v>
      </c>
      <c r="D14" s="16" t="n">
        <v>7</v>
      </c>
      <c r="E14" s="15" t="n">
        <v>12686.49</v>
      </c>
      <c r="F14" s="15" t="n">
        <v>18873.83</v>
      </c>
      <c r="G14" s="16" t="n">
        <v>15</v>
      </c>
    </row>
    <row r="15">
      <c r="A15" s="11" t="inlineStr">
        <is>
          <t>2024-08</t>
        </is>
      </c>
      <c r="B15" s="12" t="n">
        <v>51330.25</v>
      </c>
      <c r="C15" s="13" t="n">
        <v>23</v>
      </c>
      <c r="D15" s="13" t="n">
        <v>7</v>
      </c>
      <c r="E15" s="12" t="n">
        <v>13492.52</v>
      </c>
      <c r="F15" s="12" t="n">
        <v>22802.84</v>
      </c>
      <c r="G15" s="13" t="n">
        <v>16</v>
      </c>
    </row>
    <row r="16">
      <c r="A16" s="14" t="inlineStr">
        <is>
          <t>2024-09</t>
        </is>
      </c>
      <c r="B16" s="15" t="n">
        <v>54420.02</v>
      </c>
      <c r="C16" s="16" t="n">
        <v>24</v>
      </c>
      <c r="D16" s="16" t="n">
        <v>7</v>
      </c>
      <c r="E16" s="15" t="n">
        <v>14211.4</v>
      </c>
      <c r="F16" s="15" t="n">
        <v>24061.55</v>
      </c>
      <c r="G16" s="16" t="n">
        <v>17</v>
      </c>
    </row>
    <row r="17">
      <c r="A17" s="11" t="inlineStr">
        <is>
          <t>2024-10</t>
        </is>
      </c>
      <c r="B17" s="12" t="n">
        <v>58642.99</v>
      </c>
      <c r="C17" s="13" t="n">
        <v>24</v>
      </c>
      <c r="D17" s="13" t="n">
        <v>8</v>
      </c>
      <c r="E17" s="12" t="n">
        <v>15213.67</v>
      </c>
      <c r="F17" s="12" t="n">
        <v>25461.49</v>
      </c>
      <c r="G17" s="13" t="n">
        <v>18</v>
      </c>
    </row>
    <row r="18">
      <c r="A18" s="14" t="inlineStr">
        <is>
          <t>2024-11</t>
        </is>
      </c>
      <c r="B18" s="15" t="n">
        <v>62609.88</v>
      </c>
      <c r="C18" s="16" t="n">
        <v>24</v>
      </c>
      <c r="D18" s="16" t="n">
        <v>8</v>
      </c>
      <c r="E18" s="15" t="n">
        <v>16135.46</v>
      </c>
      <c r="F18" s="15" t="n">
        <v>22510.32</v>
      </c>
      <c r="G18" s="16" t="n">
        <v>18</v>
      </c>
    </row>
    <row r="19">
      <c r="A19" s="11" t="inlineStr">
        <is>
          <t>2024-12</t>
        </is>
      </c>
      <c r="B19" s="12" t="n">
        <v>65134.61</v>
      </c>
      <c r="C19" s="13" t="n">
        <v>23</v>
      </c>
      <c r="D19" s="13" t="n">
        <v>8</v>
      </c>
      <c r="E19" s="12" t="n">
        <v>16674.46</v>
      </c>
      <c r="F19" s="12" t="n">
        <v>21882.71</v>
      </c>
      <c r="G19" s="13" t="n">
        <v>19</v>
      </c>
    </row>
    <row r="20">
      <c r="A20" s="14" t="inlineStr">
        <is>
          <t>2025-01</t>
        </is>
      </c>
      <c r="B20" s="15" t="n">
        <v>68219.28</v>
      </c>
      <c r="C20" s="16" t="n">
        <v>24</v>
      </c>
      <c r="D20" s="16" t="n">
        <v>9</v>
      </c>
      <c r="E20" s="15" t="n">
        <v>17347.19</v>
      </c>
      <c r="F20" s="15" t="n">
        <v>23808.77</v>
      </c>
      <c r="G20" s="16" t="n">
        <v>20</v>
      </c>
    </row>
    <row r="21">
      <c r="A21" s="11" t="inlineStr">
        <is>
          <t>2025-02</t>
        </is>
      </c>
      <c r="B21" s="12" t="n">
        <v>73239.00999999999</v>
      </c>
      <c r="C21" s="13" t="n">
        <v>27</v>
      </c>
      <c r="D21" s="13" t="n">
        <v>9</v>
      </c>
      <c r="E21" s="12" t="n">
        <v>18498.08</v>
      </c>
      <c r="F21" s="12" t="n">
        <v>27421.21</v>
      </c>
      <c r="G21" s="13" t="n">
        <v>20</v>
      </c>
    </row>
    <row r="22">
      <c r="A22" s="14" t="inlineStr">
        <is>
          <t>2025-03</t>
        </is>
      </c>
      <c r="B22" s="15" t="n">
        <v>76868.77</v>
      </c>
      <c r="C22" s="16" t="n">
        <v>25</v>
      </c>
      <c r="D22" s="16" t="n">
        <v>9</v>
      </c>
      <c r="E22" s="15" t="n">
        <v>19283.08</v>
      </c>
      <c r="F22" s="15" t="n">
        <v>27969.32</v>
      </c>
      <c r="G22" s="16" t="n">
        <v>21</v>
      </c>
    </row>
    <row r="23">
      <c r="A23" s="11" t="inlineStr">
        <is>
          <t>2025-04</t>
        </is>
      </c>
      <c r="B23" s="12" t="n">
        <v>82381.48</v>
      </c>
      <c r="C23" s="13" t="n">
        <v>28</v>
      </c>
      <c r="D23" s="13" t="n">
        <v>10</v>
      </c>
      <c r="E23" s="12" t="n">
        <v>20524.76</v>
      </c>
      <c r="F23" s="12" t="n">
        <v>27966.72</v>
      </c>
      <c r="G23" s="13" t="n">
        <v>22</v>
      </c>
    </row>
    <row r="24">
      <c r="A24" s="14" t="inlineStr">
        <is>
          <t>2025-05</t>
        </is>
      </c>
      <c r="B24" s="15" t="n">
        <v>85561.42999999999</v>
      </c>
      <c r="C24" s="16" t="n">
        <v>29</v>
      </c>
      <c r="D24" s="16" t="n">
        <v>10</v>
      </c>
      <c r="E24" s="15" t="n">
        <v>21170.34</v>
      </c>
      <c r="F24" s="15" t="n">
        <v>30228.37</v>
      </c>
      <c r="G24" s="16" t="n">
        <v>23</v>
      </c>
    </row>
    <row r="25">
      <c r="A25" s="11" t="inlineStr">
        <is>
          <t>2025-06</t>
        </is>
      </c>
      <c r="B25" s="12" t="n">
        <v>92658.86</v>
      </c>
      <c r="C25" s="13" t="n">
        <v>32</v>
      </c>
      <c r="D25" s="13" t="n">
        <v>10</v>
      </c>
      <c r="E25" s="12" t="n">
        <v>22767.61</v>
      </c>
      <c r="F25" s="12" t="n">
        <v>34598.12</v>
      </c>
      <c r="G25" s="13" t="n">
        <v>23</v>
      </c>
    </row>
    <row r="26">
      <c r="A26" s="14" t="inlineStr">
        <is>
          <t>2025-07</t>
        </is>
      </c>
      <c r="B26" s="15" t="n">
        <v>98533.00999999999</v>
      </c>
      <c r="C26" s="16" t="n">
        <v>31</v>
      </c>
      <c r="D26" s="16" t="n">
        <v>11</v>
      </c>
      <c r="E26" s="15" t="n">
        <v>24042.05</v>
      </c>
      <c r="F26" s="15" t="n">
        <v>34958.48</v>
      </c>
      <c r="G26" s="16" t="n">
        <v>24</v>
      </c>
    </row>
    <row r="27">
      <c r="A27" s="11" t="inlineStr">
        <is>
          <t>2025-08</t>
        </is>
      </c>
      <c r="B27" s="12" t="n">
        <v>99983.31</v>
      </c>
      <c r="C27" s="13" t="n">
        <v>29</v>
      </c>
      <c r="D27" s="13" t="n">
        <v>11</v>
      </c>
      <c r="E27" s="12" t="n">
        <v>24224.53</v>
      </c>
      <c r="F27" s="12" t="n">
        <v>30636.43</v>
      </c>
      <c r="G27" s="13" t="n">
        <v>25</v>
      </c>
    </row>
    <row r="28">
      <c r="A28" s="14" t="inlineStr">
        <is>
          <t>2025-09</t>
        </is>
      </c>
      <c r="B28" s="15" t="n">
        <v>105409.43</v>
      </c>
      <c r="C28" s="16" t="n">
        <v>30</v>
      </c>
      <c r="D28" s="16" t="n">
        <v>12</v>
      </c>
      <c r="E28" s="15" t="n">
        <v>25358.5</v>
      </c>
      <c r="F28" s="15" t="n">
        <v>35246.77</v>
      </c>
      <c r="G28" s="16" t="n">
        <v>25</v>
      </c>
    </row>
    <row r="29">
      <c r="A29" s="11" t="inlineStr">
        <is>
          <t>2025-10</t>
        </is>
      </c>
      <c r="B29" s="12" t="n">
        <v>111507.8</v>
      </c>
      <c r="C29" s="13" t="n">
        <v>34</v>
      </c>
      <c r="D29" s="13" t="n">
        <v>12</v>
      </c>
      <c r="E29" s="12" t="n">
        <v>26634.43</v>
      </c>
      <c r="F29" s="12" t="n">
        <v>38529.26</v>
      </c>
      <c r="G29" s="13" t="n">
        <v>26</v>
      </c>
    </row>
    <row r="30">
      <c r="A30" s="14" t="inlineStr">
        <is>
          <t>2025-11</t>
        </is>
      </c>
      <c r="B30" s="15" t="n">
        <v>119619.74</v>
      </c>
      <c r="C30" s="16" t="n">
        <v>32</v>
      </c>
      <c r="D30" s="16" t="n">
        <v>12</v>
      </c>
      <c r="E30" s="15" t="n">
        <v>28366.97</v>
      </c>
      <c r="F30" s="15" t="n">
        <v>35422.39</v>
      </c>
      <c r="G30" s="16" t="n">
        <v>27</v>
      </c>
    </row>
    <row r="31">
      <c r="A31" s="11" t="inlineStr">
        <is>
          <t>2025-12</t>
        </is>
      </c>
      <c r="B31" s="12" t="n">
        <v>121595.59</v>
      </c>
      <c r="C31" s="13" t="n">
        <v>32</v>
      </c>
      <c r="D31" s="13" t="n">
        <v>13</v>
      </c>
      <c r="E31" s="12" t="n">
        <v>28627.08</v>
      </c>
      <c r="F31" s="12" t="n">
        <v>36284.24</v>
      </c>
      <c r="G31" s="13" t="n">
        <v>28</v>
      </c>
    </row>
    <row r="32">
      <c r="A32" s="14" t="inlineStr">
        <is>
          <t>2026-01</t>
        </is>
      </c>
      <c r="B32" s="15" t="n">
        <v>128511.06</v>
      </c>
      <c r="C32" s="16" t="n">
        <v>32</v>
      </c>
      <c r="D32" s="16" t="n">
        <v>13</v>
      </c>
      <c r="E32" s="15" t="n">
        <v>30034.87</v>
      </c>
      <c r="F32" s="15" t="n">
        <v>38510.27</v>
      </c>
      <c r="G32" s="16" t="n">
        <v>28</v>
      </c>
    </row>
    <row r="33">
      <c r="A33" s="11" t="inlineStr">
        <is>
          <t>2026-02</t>
        </is>
      </c>
      <c r="B33" s="12" t="n">
        <v>132333.4</v>
      </c>
      <c r="C33" s="13" t="n">
        <v>34</v>
      </c>
      <c r="D33" s="13" t="n">
        <v>13</v>
      </c>
      <c r="E33" s="12" t="n">
        <v>30701.35</v>
      </c>
      <c r="F33" s="12" t="n">
        <v>41845.53</v>
      </c>
      <c r="G33" s="13" t="n">
        <v>29</v>
      </c>
    </row>
    <row r="34">
      <c r="A34" s="14" t="inlineStr">
        <is>
          <t>2026-03</t>
        </is>
      </c>
      <c r="B34" s="15" t="n">
        <v>137832.75</v>
      </c>
      <c r="C34" s="16" t="n">
        <v>36</v>
      </c>
      <c r="D34" s="16" t="n">
        <v>13</v>
      </c>
      <c r="E34" s="15" t="n">
        <v>31740.91</v>
      </c>
      <c r="F34" s="15" t="n">
        <v>38352.4</v>
      </c>
      <c r="G34" s="16" t="n">
        <v>30</v>
      </c>
    </row>
    <row r="35">
      <c r="A35" s="11" t="inlineStr">
        <is>
          <t>2026-04</t>
        </is>
      </c>
      <c r="B35" s="12" t="n">
        <v>146310.66</v>
      </c>
      <c r="C35" s="13" t="n">
        <v>33</v>
      </c>
      <c r="D35" s="13" t="n">
        <v>14</v>
      </c>
      <c r="E35" s="12" t="n">
        <v>33442.44</v>
      </c>
      <c r="F35" s="12" t="n">
        <v>39970.24</v>
      </c>
      <c r="G35" s="13" t="n">
        <v>30</v>
      </c>
    </row>
    <row r="36">
      <c r="A36" s="14" t="inlineStr">
        <is>
          <t>2026-05</t>
        </is>
      </c>
      <c r="B36" s="15" t="n">
        <v>149126.16</v>
      </c>
      <c r="C36" s="16" t="n">
        <v>36</v>
      </c>
      <c r="D36" s="16" t="n">
        <v>14</v>
      </c>
      <c r="E36" s="15" t="n">
        <v>33830.33</v>
      </c>
      <c r="F36" s="15" t="n">
        <v>41170.85</v>
      </c>
      <c r="G36" s="16" t="n">
        <v>31</v>
      </c>
    </row>
    <row r="37">
      <c r="A37" s="11" t="inlineStr">
        <is>
          <t>2026-06</t>
        </is>
      </c>
      <c r="B37" s="12" t="n">
        <v>159653.71</v>
      </c>
      <c r="C37" s="13" t="n">
        <v>42</v>
      </c>
      <c r="D37" s="13" t="n">
        <v>14</v>
      </c>
      <c r="E37" s="12" t="n">
        <v>35944.89</v>
      </c>
      <c r="F37" s="12" t="n">
        <v>53037.37</v>
      </c>
      <c r="G37" s="13" t="n">
        <v>32</v>
      </c>
    </row>
    <row r="38">
      <c r="A38" s="14" t="inlineStr">
        <is>
          <t>2026-07</t>
        </is>
      </c>
      <c r="B38" s="15" t="n">
        <v>163523.79</v>
      </c>
      <c r="C38" s="16" t="n">
        <v>41</v>
      </c>
      <c r="D38" s="16" t="n">
        <v>15</v>
      </c>
      <c r="E38" s="15" t="n">
        <v>36535.89</v>
      </c>
      <c r="F38" s="15" t="n">
        <v>50209.84</v>
      </c>
      <c r="G38" s="16" t="n">
        <v>33</v>
      </c>
    </row>
    <row r="39">
      <c r="A39" s="11" t="inlineStr">
        <is>
          <t>2026-08</t>
        </is>
      </c>
      <c r="B39" s="12" t="n">
        <v>174444.45</v>
      </c>
      <c r="C39" s="13" t="n">
        <v>41</v>
      </c>
      <c r="D39" s="13" t="n">
        <v>15</v>
      </c>
      <c r="E39" s="12" t="n">
        <v>38676.83</v>
      </c>
      <c r="F39" s="12" t="n">
        <v>47026.13</v>
      </c>
      <c r="G39" s="13" t="n">
        <v>33</v>
      </c>
    </row>
    <row r="40">
      <c r="A40" s="14" t="inlineStr">
        <is>
          <t>2026-09</t>
        </is>
      </c>
      <c r="B40" s="15" t="n">
        <v>178857.07</v>
      </c>
      <c r="C40" s="16" t="n">
        <v>41</v>
      </c>
      <c r="D40" s="16" t="n">
        <v>15</v>
      </c>
      <c r="E40" s="15" t="n">
        <v>39348.56</v>
      </c>
      <c r="F40" s="15" t="n">
        <v>48686.47</v>
      </c>
      <c r="G40" s="16" t="n">
        <v>34</v>
      </c>
    </row>
    <row r="42">
      <c r="A42" s="17" t="inlineStr">
        <is>
          <t>Rows:</t>
        </is>
      </c>
      <c r="B42" s="18" t="n">
        <v>36</v>
      </c>
    </row>
    <row r="43">
      <c r="A43" s="17" t="inlineStr">
        <is>
          <t>Period:</t>
        </is>
      </c>
      <c r="B43" s="18" t="inlineStr">
        <is>
          <t>2023-10 → 2026-09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9" t="inlineStr">
        <is>
          <t>Operating Model — monthly, Oct 2023 → Sep 2026</t>
        </is>
      </c>
    </row>
    <row r="2">
      <c r="A2" s="8" t="inlineStr">
        <is>
          <t>All cells are formulas referencing Input. Opening customer base = 120 (end-Sep-2023).</t>
        </is>
      </c>
    </row>
    <row r="4" ht="30" customHeight="1">
      <c r="A4" s="19" t="inlineStr">
        <is>
          <t>month</t>
        </is>
      </c>
      <c r="B4" s="19" t="inlineStr">
        <is>
          <t>customers_start</t>
        </is>
      </c>
      <c r="C4" s="19" t="inlineStr">
        <is>
          <t>new_customers</t>
        </is>
      </c>
      <c r="D4" s="19" t="inlineStr">
        <is>
          <t>churned_customers</t>
        </is>
      </c>
      <c r="E4" s="19" t="inlineStr">
        <is>
          <t>customers_end</t>
        </is>
      </c>
      <c r="F4" s="19" t="inlineStr">
        <is>
          <t>net_adds</t>
        </is>
      </c>
      <c r="G4" s="19" t="inlineStr">
        <is>
          <t>mrr</t>
        </is>
      </c>
      <c r="H4" s="19" t="inlineStr">
        <is>
          <t>arpa</t>
        </is>
      </c>
      <c r="I4" s="19" t="inlineStr">
        <is>
          <t>cogs</t>
        </is>
      </c>
      <c r="J4" s="19" t="inlineStr">
        <is>
          <t>gross_profit</t>
        </is>
      </c>
      <c r="K4" s="19" t="inlineStr">
        <is>
          <t>gross_margin</t>
        </is>
      </c>
      <c r="L4" s="19" t="inlineStr">
        <is>
          <t>sm_spend</t>
        </is>
      </c>
      <c r="M4" s="19" t="inlineStr">
        <is>
          <t>opex_total</t>
        </is>
      </c>
      <c r="N4" s="19" t="inlineStr">
        <is>
          <t>contribution_profit</t>
        </is>
      </c>
      <c r="O4" s="19" t="inlineStr">
        <is>
          <t>contribution_margin</t>
        </is>
      </c>
      <c r="P4" s="19" t="inlineStr">
        <is>
          <t>burn_or_profit</t>
        </is>
      </c>
      <c r="Q4" s="19" t="inlineStr">
        <is>
          <t>mrr_per_fte</t>
        </is>
      </c>
    </row>
    <row r="5">
      <c r="A5" s="11">
        <f>Input!A5</f>
        <v/>
      </c>
      <c r="B5" s="13">
        <f>120</f>
        <v/>
      </c>
      <c r="C5" s="13">
        <f>Input!C5</f>
        <v/>
      </c>
      <c r="D5" s="13">
        <f>Input!D5</f>
        <v/>
      </c>
      <c r="E5" s="13">
        <f>B5+C5-D5</f>
        <v/>
      </c>
      <c r="F5" s="13">
        <f>C5-D5</f>
        <v/>
      </c>
      <c r="G5" s="20">
        <f>Input!B5</f>
        <v/>
      </c>
      <c r="H5" s="21">
        <f>IFERROR(G5/E5,0)</f>
        <v/>
      </c>
      <c r="I5" s="20">
        <f>Input!E5</f>
        <v/>
      </c>
      <c r="J5" s="20">
        <f>G5-I5</f>
        <v/>
      </c>
      <c r="K5" s="22">
        <f>IFERROR(J5/G5,0)</f>
        <v/>
      </c>
      <c r="L5" s="20">
        <f>Input!F5</f>
        <v/>
      </c>
      <c r="M5" s="20">
        <f>I5+L5</f>
        <v/>
      </c>
      <c r="N5" s="20">
        <f>G5-M5</f>
        <v/>
      </c>
      <c r="O5" s="22">
        <f>IFERROR(N5/G5,0)</f>
        <v/>
      </c>
      <c r="P5" s="20">
        <f>N5</f>
        <v/>
      </c>
      <c r="Q5" s="20">
        <f>IFERROR(G5/Input!G5,0)</f>
        <v/>
      </c>
    </row>
    <row r="6">
      <c r="A6" s="14">
        <f>Input!A6</f>
        <v/>
      </c>
      <c r="B6" s="16">
        <f>E5</f>
        <v/>
      </c>
      <c r="C6" s="16">
        <f>Input!C6</f>
        <v/>
      </c>
      <c r="D6" s="16">
        <f>Input!D6</f>
        <v/>
      </c>
      <c r="E6" s="16">
        <f>B6+C6-D6</f>
        <v/>
      </c>
      <c r="F6" s="16">
        <f>C6-D6</f>
        <v/>
      </c>
      <c r="G6" s="23">
        <f>Input!B6</f>
        <v/>
      </c>
      <c r="H6" s="24">
        <f>IFERROR(G6/E6,0)</f>
        <v/>
      </c>
      <c r="I6" s="23">
        <f>Input!E6</f>
        <v/>
      </c>
      <c r="J6" s="23">
        <f>G6-I6</f>
        <v/>
      </c>
      <c r="K6" s="25">
        <f>IFERROR(J6/G6,0)</f>
        <v/>
      </c>
      <c r="L6" s="23">
        <f>Input!F6</f>
        <v/>
      </c>
      <c r="M6" s="23">
        <f>I6+L6</f>
        <v/>
      </c>
      <c r="N6" s="23">
        <f>G6-M6</f>
        <v/>
      </c>
      <c r="O6" s="25">
        <f>IFERROR(N6/G6,0)</f>
        <v/>
      </c>
      <c r="P6" s="23">
        <f>N6</f>
        <v/>
      </c>
      <c r="Q6" s="23">
        <f>IFERROR(G6/Input!G6,0)</f>
        <v/>
      </c>
    </row>
    <row r="7">
      <c r="A7" s="11">
        <f>Input!A7</f>
        <v/>
      </c>
      <c r="B7" s="13">
        <f>E6</f>
        <v/>
      </c>
      <c r="C7" s="13">
        <f>Input!C7</f>
        <v/>
      </c>
      <c r="D7" s="13">
        <f>Input!D7</f>
        <v/>
      </c>
      <c r="E7" s="13">
        <f>B7+C7-D7</f>
        <v/>
      </c>
      <c r="F7" s="13">
        <f>C7-D7</f>
        <v/>
      </c>
      <c r="G7" s="20">
        <f>Input!B7</f>
        <v/>
      </c>
      <c r="H7" s="21">
        <f>IFERROR(G7/E7,0)</f>
        <v/>
      </c>
      <c r="I7" s="20">
        <f>Input!E7</f>
        <v/>
      </c>
      <c r="J7" s="20">
        <f>G7-I7</f>
        <v/>
      </c>
      <c r="K7" s="22">
        <f>IFERROR(J7/G7,0)</f>
        <v/>
      </c>
      <c r="L7" s="20">
        <f>Input!F7</f>
        <v/>
      </c>
      <c r="M7" s="20">
        <f>I7+L7</f>
        <v/>
      </c>
      <c r="N7" s="20">
        <f>G7-M7</f>
        <v/>
      </c>
      <c r="O7" s="22">
        <f>IFERROR(N7/G7,0)</f>
        <v/>
      </c>
      <c r="P7" s="20">
        <f>N7</f>
        <v/>
      </c>
      <c r="Q7" s="20">
        <f>IFERROR(G7/Input!G7,0)</f>
        <v/>
      </c>
    </row>
    <row r="8">
      <c r="A8" s="14">
        <f>Input!A8</f>
        <v/>
      </c>
      <c r="B8" s="16">
        <f>E7</f>
        <v/>
      </c>
      <c r="C8" s="16">
        <f>Input!C8</f>
        <v/>
      </c>
      <c r="D8" s="16">
        <f>Input!D8</f>
        <v/>
      </c>
      <c r="E8" s="16">
        <f>B8+C8-D8</f>
        <v/>
      </c>
      <c r="F8" s="16">
        <f>C8-D8</f>
        <v/>
      </c>
      <c r="G8" s="23">
        <f>Input!B8</f>
        <v/>
      </c>
      <c r="H8" s="24">
        <f>IFERROR(G8/E8,0)</f>
        <v/>
      </c>
      <c r="I8" s="23">
        <f>Input!E8</f>
        <v/>
      </c>
      <c r="J8" s="23">
        <f>G8-I8</f>
        <v/>
      </c>
      <c r="K8" s="25">
        <f>IFERROR(J8/G8,0)</f>
        <v/>
      </c>
      <c r="L8" s="23">
        <f>Input!F8</f>
        <v/>
      </c>
      <c r="M8" s="23">
        <f>I8+L8</f>
        <v/>
      </c>
      <c r="N8" s="23">
        <f>G8-M8</f>
        <v/>
      </c>
      <c r="O8" s="25">
        <f>IFERROR(N8/G8,0)</f>
        <v/>
      </c>
      <c r="P8" s="23">
        <f>N8</f>
        <v/>
      </c>
      <c r="Q8" s="23">
        <f>IFERROR(G8/Input!G8,0)</f>
        <v/>
      </c>
    </row>
    <row r="9">
      <c r="A9" s="11">
        <f>Input!A9</f>
        <v/>
      </c>
      <c r="B9" s="13">
        <f>E8</f>
        <v/>
      </c>
      <c r="C9" s="13">
        <f>Input!C9</f>
        <v/>
      </c>
      <c r="D9" s="13">
        <f>Input!D9</f>
        <v/>
      </c>
      <c r="E9" s="13">
        <f>B9+C9-D9</f>
        <v/>
      </c>
      <c r="F9" s="13">
        <f>C9-D9</f>
        <v/>
      </c>
      <c r="G9" s="20">
        <f>Input!B9</f>
        <v/>
      </c>
      <c r="H9" s="21">
        <f>IFERROR(G9/E9,0)</f>
        <v/>
      </c>
      <c r="I9" s="20">
        <f>Input!E9</f>
        <v/>
      </c>
      <c r="J9" s="20">
        <f>G9-I9</f>
        <v/>
      </c>
      <c r="K9" s="22">
        <f>IFERROR(J9/G9,0)</f>
        <v/>
      </c>
      <c r="L9" s="20">
        <f>Input!F9</f>
        <v/>
      </c>
      <c r="M9" s="20">
        <f>I9+L9</f>
        <v/>
      </c>
      <c r="N9" s="20">
        <f>G9-M9</f>
        <v/>
      </c>
      <c r="O9" s="22">
        <f>IFERROR(N9/G9,0)</f>
        <v/>
      </c>
      <c r="P9" s="20">
        <f>N9</f>
        <v/>
      </c>
      <c r="Q9" s="20">
        <f>IFERROR(G9/Input!G9,0)</f>
        <v/>
      </c>
    </row>
    <row r="10">
      <c r="A10" s="14">
        <f>Input!A10</f>
        <v/>
      </c>
      <c r="B10" s="16">
        <f>E9</f>
        <v/>
      </c>
      <c r="C10" s="16">
        <f>Input!C10</f>
        <v/>
      </c>
      <c r="D10" s="16">
        <f>Input!D10</f>
        <v/>
      </c>
      <c r="E10" s="16">
        <f>B10+C10-D10</f>
        <v/>
      </c>
      <c r="F10" s="16">
        <f>C10-D10</f>
        <v/>
      </c>
      <c r="G10" s="23">
        <f>Input!B10</f>
        <v/>
      </c>
      <c r="H10" s="24">
        <f>IFERROR(G10/E10,0)</f>
        <v/>
      </c>
      <c r="I10" s="23">
        <f>Input!E10</f>
        <v/>
      </c>
      <c r="J10" s="23">
        <f>G10-I10</f>
        <v/>
      </c>
      <c r="K10" s="25">
        <f>IFERROR(J10/G10,0)</f>
        <v/>
      </c>
      <c r="L10" s="23">
        <f>Input!F10</f>
        <v/>
      </c>
      <c r="M10" s="23">
        <f>I10+L10</f>
        <v/>
      </c>
      <c r="N10" s="23">
        <f>G10-M10</f>
        <v/>
      </c>
      <c r="O10" s="25">
        <f>IFERROR(N10/G10,0)</f>
        <v/>
      </c>
      <c r="P10" s="23">
        <f>N10</f>
        <v/>
      </c>
      <c r="Q10" s="23">
        <f>IFERROR(G10/Input!G10,0)</f>
        <v/>
      </c>
    </row>
    <row r="11">
      <c r="A11" s="11">
        <f>Input!A11</f>
        <v/>
      </c>
      <c r="B11" s="13">
        <f>E10</f>
        <v/>
      </c>
      <c r="C11" s="13">
        <f>Input!C11</f>
        <v/>
      </c>
      <c r="D11" s="13">
        <f>Input!D11</f>
        <v/>
      </c>
      <c r="E11" s="13">
        <f>B11+C11-D11</f>
        <v/>
      </c>
      <c r="F11" s="13">
        <f>C11-D11</f>
        <v/>
      </c>
      <c r="G11" s="20">
        <f>Input!B11</f>
        <v/>
      </c>
      <c r="H11" s="21">
        <f>IFERROR(G11/E11,0)</f>
        <v/>
      </c>
      <c r="I11" s="20">
        <f>Input!E11</f>
        <v/>
      </c>
      <c r="J11" s="20">
        <f>G11-I11</f>
        <v/>
      </c>
      <c r="K11" s="22">
        <f>IFERROR(J11/G11,0)</f>
        <v/>
      </c>
      <c r="L11" s="20">
        <f>Input!F11</f>
        <v/>
      </c>
      <c r="M11" s="20">
        <f>I11+L11</f>
        <v/>
      </c>
      <c r="N11" s="20">
        <f>G11-M11</f>
        <v/>
      </c>
      <c r="O11" s="22">
        <f>IFERROR(N11/G11,0)</f>
        <v/>
      </c>
      <c r="P11" s="20">
        <f>N11</f>
        <v/>
      </c>
      <c r="Q11" s="20">
        <f>IFERROR(G11/Input!G11,0)</f>
        <v/>
      </c>
    </row>
    <row r="12">
      <c r="A12" s="14">
        <f>Input!A12</f>
        <v/>
      </c>
      <c r="B12" s="16">
        <f>E11</f>
        <v/>
      </c>
      <c r="C12" s="16">
        <f>Input!C12</f>
        <v/>
      </c>
      <c r="D12" s="16">
        <f>Input!D12</f>
        <v/>
      </c>
      <c r="E12" s="16">
        <f>B12+C12-D12</f>
        <v/>
      </c>
      <c r="F12" s="16">
        <f>C12-D12</f>
        <v/>
      </c>
      <c r="G12" s="23">
        <f>Input!B12</f>
        <v/>
      </c>
      <c r="H12" s="24">
        <f>IFERROR(G12/E12,0)</f>
        <v/>
      </c>
      <c r="I12" s="23">
        <f>Input!E12</f>
        <v/>
      </c>
      <c r="J12" s="23">
        <f>G12-I12</f>
        <v/>
      </c>
      <c r="K12" s="25">
        <f>IFERROR(J12/G12,0)</f>
        <v/>
      </c>
      <c r="L12" s="23">
        <f>Input!F12</f>
        <v/>
      </c>
      <c r="M12" s="23">
        <f>I12+L12</f>
        <v/>
      </c>
      <c r="N12" s="23">
        <f>G12-M12</f>
        <v/>
      </c>
      <c r="O12" s="25">
        <f>IFERROR(N12/G12,0)</f>
        <v/>
      </c>
      <c r="P12" s="23">
        <f>N12</f>
        <v/>
      </c>
      <c r="Q12" s="23">
        <f>IFERROR(G12/Input!G12,0)</f>
        <v/>
      </c>
    </row>
    <row r="13">
      <c r="A13" s="11">
        <f>Input!A13</f>
        <v/>
      </c>
      <c r="B13" s="13">
        <f>E12</f>
        <v/>
      </c>
      <c r="C13" s="13">
        <f>Input!C13</f>
        <v/>
      </c>
      <c r="D13" s="13">
        <f>Input!D13</f>
        <v/>
      </c>
      <c r="E13" s="13">
        <f>B13+C13-D13</f>
        <v/>
      </c>
      <c r="F13" s="13">
        <f>C13-D13</f>
        <v/>
      </c>
      <c r="G13" s="20">
        <f>Input!B13</f>
        <v/>
      </c>
      <c r="H13" s="21">
        <f>IFERROR(G13/E13,0)</f>
        <v/>
      </c>
      <c r="I13" s="20">
        <f>Input!E13</f>
        <v/>
      </c>
      <c r="J13" s="20">
        <f>G13-I13</f>
        <v/>
      </c>
      <c r="K13" s="22">
        <f>IFERROR(J13/G13,0)</f>
        <v/>
      </c>
      <c r="L13" s="20">
        <f>Input!F13</f>
        <v/>
      </c>
      <c r="M13" s="20">
        <f>I13+L13</f>
        <v/>
      </c>
      <c r="N13" s="20">
        <f>G13-M13</f>
        <v/>
      </c>
      <c r="O13" s="22">
        <f>IFERROR(N13/G13,0)</f>
        <v/>
      </c>
      <c r="P13" s="20">
        <f>N13</f>
        <v/>
      </c>
      <c r="Q13" s="20">
        <f>IFERROR(G13/Input!G13,0)</f>
        <v/>
      </c>
    </row>
    <row r="14">
      <c r="A14" s="14">
        <f>Input!A14</f>
        <v/>
      </c>
      <c r="B14" s="16">
        <f>E13</f>
        <v/>
      </c>
      <c r="C14" s="16">
        <f>Input!C14</f>
        <v/>
      </c>
      <c r="D14" s="16">
        <f>Input!D14</f>
        <v/>
      </c>
      <c r="E14" s="16">
        <f>B14+C14-D14</f>
        <v/>
      </c>
      <c r="F14" s="16">
        <f>C14-D14</f>
        <v/>
      </c>
      <c r="G14" s="23">
        <f>Input!B14</f>
        <v/>
      </c>
      <c r="H14" s="24">
        <f>IFERROR(G14/E14,0)</f>
        <v/>
      </c>
      <c r="I14" s="23">
        <f>Input!E14</f>
        <v/>
      </c>
      <c r="J14" s="23">
        <f>G14-I14</f>
        <v/>
      </c>
      <c r="K14" s="25">
        <f>IFERROR(J14/G14,0)</f>
        <v/>
      </c>
      <c r="L14" s="23">
        <f>Input!F14</f>
        <v/>
      </c>
      <c r="M14" s="23">
        <f>I14+L14</f>
        <v/>
      </c>
      <c r="N14" s="23">
        <f>G14-M14</f>
        <v/>
      </c>
      <c r="O14" s="25">
        <f>IFERROR(N14/G14,0)</f>
        <v/>
      </c>
      <c r="P14" s="23">
        <f>N14</f>
        <v/>
      </c>
      <c r="Q14" s="23">
        <f>IFERROR(G14/Input!G14,0)</f>
        <v/>
      </c>
    </row>
    <row r="15">
      <c r="A15" s="11">
        <f>Input!A15</f>
        <v/>
      </c>
      <c r="B15" s="13">
        <f>E14</f>
        <v/>
      </c>
      <c r="C15" s="13">
        <f>Input!C15</f>
        <v/>
      </c>
      <c r="D15" s="13">
        <f>Input!D15</f>
        <v/>
      </c>
      <c r="E15" s="13">
        <f>B15+C15-D15</f>
        <v/>
      </c>
      <c r="F15" s="13">
        <f>C15-D15</f>
        <v/>
      </c>
      <c r="G15" s="20">
        <f>Input!B15</f>
        <v/>
      </c>
      <c r="H15" s="21">
        <f>IFERROR(G15/E15,0)</f>
        <v/>
      </c>
      <c r="I15" s="20">
        <f>Input!E15</f>
        <v/>
      </c>
      <c r="J15" s="20">
        <f>G15-I15</f>
        <v/>
      </c>
      <c r="K15" s="22">
        <f>IFERROR(J15/G15,0)</f>
        <v/>
      </c>
      <c r="L15" s="20">
        <f>Input!F15</f>
        <v/>
      </c>
      <c r="M15" s="20">
        <f>I15+L15</f>
        <v/>
      </c>
      <c r="N15" s="20">
        <f>G15-M15</f>
        <v/>
      </c>
      <c r="O15" s="22">
        <f>IFERROR(N15/G15,0)</f>
        <v/>
      </c>
      <c r="P15" s="20">
        <f>N15</f>
        <v/>
      </c>
      <c r="Q15" s="20">
        <f>IFERROR(G15/Input!G15,0)</f>
        <v/>
      </c>
    </row>
    <row r="16">
      <c r="A16" s="14">
        <f>Input!A16</f>
        <v/>
      </c>
      <c r="B16" s="16">
        <f>E15</f>
        <v/>
      </c>
      <c r="C16" s="16">
        <f>Input!C16</f>
        <v/>
      </c>
      <c r="D16" s="16">
        <f>Input!D16</f>
        <v/>
      </c>
      <c r="E16" s="16">
        <f>B16+C16-D16</f>
        <v/>
      </c>
      <c r="F16" s="16">
        <f>C16-D16</f>
        <v/>
      </c>
      <c r="G16" s="23">
        <f>Input!B16</f>
        <v/>
      </c>
      <c r="H16" s="24">
        <f>IFERROR(G16/E16,0)</f>
        <v/>
      </c>
      <c r="I16" s="23">
        <f>Input!E16</f>
        <v/>
      </c>
      <c r="J16" s="23">
        <f>G16-I16</f>
        <v/>
      </c>
      <c r="K16" s="25">
        <f>IFERROR(J16/G16,0)</f>
        <v/>
      </c>
      <c r="L16" s="23">
        <f>Input!F16</f>
        <v/>
      </c>
      <c r="M16" s="23">
        <f>I16+L16</f>
        <v/>
      </c>
      <c r="N16" s="23">
        <f>G16-M16</f>
        <v/>
      </c>
      <c r="O16" s="25">
        <f>IFERROR(N16/G16,0)</f>
        <v/>
      </c>
      <c r="P16" s="23">
        <f>N16</f>
        <v/>
      </c>
      <c r="Q16" s="23">
        <f>IFERROR(G16/Input!G16,0)</f>
        <v/>
      </c>
    </row>
    <row r="17">
      <c r="A17" s="11">
        <f>Input!A17</f>
        <v/>
      </c>
      <c r="B17" s="13">
        <f>E16</f>
        <v/>
      </c>
      <c r="C17" s="13">
        <f>Input!C17</f>
        <v/>
      </c>
      <c r="D17" s="13">
        <f>Input!D17</f>
        <v/>
      </c>
      <c r="E17" s="13">
        <f>B17+C17-D17</f>
        <v/>
      </c>
      <c r="F17" s="13">
        <f>C17-D17</f>
        <v/>
      </c>
      <c r="G17" s="20">
        <f>Input!B17</f>
        <v/>
      </c>
      <c r="H17" s="21">
        <f>IFERROR(G17/E17,0)</f>
        <v/>
      </c>
      <c r="I17" s="20">
        <f>Input!E17</f>
        <v/>
      </c>
      <c r="J17" s="20">
        <f>G17-I17</f>
        <v/>
      </c>
      <c r="K17" s="22">
        <f>IFERROR(J17/G17,0)</f>
        <v/>
      </c>
      <c r="L17" s="20">
        <f>Input!F17</f>
        <v/>
      </c>
      <c r="M17" s="20">
        <f>I17+L17</f>
        <v/>
      </c>
      <c r="N17" s="20">
        <f>G17-M17</f>
        <v/>
      </c>
      <c r="O17" s="22">
        <f>IFERROR(N17/G17,0)</f>
        <v/>
      </c>
      <c r="P17" s="20">
        <f>N17</f>
        <v/>
      </c>
      <c r="Q17" s="20">
        <f>IFERROR(G17/Input!G17,0)</f>
        <v/>
      </c>
    </row>
    <row r="18">
      <c r="A18" s="14">
        <f>Input!A18</f>
        <v/>
      </c>
      <c r="B18" s="16">
        <f>E17</f>
        <v/>
      </c>
      <c r="C18" s="16">
        <f>Input!C18</f>
        <v/>
      </c>
      <c r="D18" s="16">
        <f>Input!D18</f>
        <v/>
      </c>
      <c r="E18" s="16">
        <f>B18+C18-D18</f>
        <v/>
      </c>
      <c r="F18" s="16">
        <f>C18-D18</f>
        <v/>
      </c>
      <c r="G18" s="23">
        <f>Input!B18</f>
        <v/>
      </c>
      <c r="H18" s="24">
        <f>IFERROR(G18/E18,0)</f>
        <v/>
      </c>
      <c r="I18" s="23">
        <f>Input!E18</f>
        <v/>
      </c>
      <c r="J18" s="23">
        <f>G18-I18</f>
        <v/>
      </c>
      <c r="K18" s="25">
        <f>IFERROR(J18/G18,0)</f>
        <v/>
      </c>
      <c r="L18" s="23">
        <f>Input!F18</f>
        <v/>
      </c>
      <c r="M18" s="23">
        <f>I18+L18</f>
        <v/>
      </c>
      <c r="N18" s="23">
        <f>G18-M18</f>
        <v/>
      </c>
      <c r="O18" s="25">
        <f>IFERROR(N18/G18,0)</f>
        <v/>
      </c>
      <c r="P18" s="23">
        <f>N18</f>
        <v/>
      </c>
      <c r="Q18" s="23">
        <f>IFERROR(G18/Input!G18,0)</f>
        <v/>
      </c>
    </row>
    <row r="19">
      <c r="A19" s="11">
        <f>Input!A19</f>
        <v/>
      </c>
      <c r="B19" s="13">
        <f>E18</f>
        <v/>
      </c>
      <c r="C19" s="13">
        <f>Input!C19</f>
        <v/>
      </c>
      <c r="D19" s="13">
        <f>Input!D19</f>
        <v/>
      </c>
      <c r="E19" s="13">
        <f>B19+C19-D19</f>
        <v/>
      </c>
      <c r="F19" s="13">
        <f>C19-D19</f>
        <v/>
      </c>
      <c r="G19" s="20">
        <f>Input!B19</f>
        <v/>
      </c>
      <c r="H19" s="21">
        <f>IFERROR(G19/E19,0)</f>
        <v/>
      </c>
      <c r="I19" s="20">
        <f>Input!E19</f>
        <v/>
      </c>
      <c r="J19" s="20">
        <f>G19-I19</f>
        <v/>
      </c>
      <c r="K19" s="22">
        <f>IFERROR(J19/G19,0)</f>
        <v/>
      </c>
      <c r="L19" s="20">
        <f>Input!F19</f>
        <v/>
      </c>
      <c r="M19" s="20">
        <f>I19+L19</f>
        <v/>
      </c>
      <c r="N19" s="20">
        <f>G19-M19</f>
        <v/>
      </c>
      <c r="O19" s="22">
        <f>IFERROR(N19/G19,0)</f>
        <v/>
      </c>
      <c r="P19" s="20">
        <f>N19</f>
        <v/>
      </c>
      <c r="Q19" s="20">
        <f>IFERROR(G19/Input!G19,0)</f>
        <v/>
      </c>
    </row>
    <row r="20">
      <c r="A20" s="14">
        <f>Input!A20</f>
        <v/>
      </c>
      <c r="B20" s="16">
        <f>E19</f>
        <v/>
      </c>
      <c r="C20" s="16">
        <f>Input!C20</f>
        <v/>
      </c>
      <c r="D20" s="16">
        <f>Input!D20</f>
        <v/>
      </c>
      <c r="E20" s="16">
        <f>B20+C20-D20</f>
        <v/>
      </c>
      <c r="F20" s="16">
        <f>C20-D20</f>
        <v/>
      </c>
      <c r="G20" s="23">
        <f>Input!B20</f>
        <v/>
      </c>
      <c r="H20" s="24">
        <f>IFERROR(G20/E20,0)</f>
        <v/>
      </c>
      <c r="I20" s="23">
        <f>Input!E20</f>
        <v/>
      </c>
      <c r="J20" s="23">
        <f>G20-I20</f>
        <v/>
      </c>
      <c r="K20" s="25">
        <f>IFERROR(J20/G20,0)</f>
        <v/>
      </c>
      <c r="L20" s="23">
        <f>Input!F20</f>
        <v/>
      </c>
      <c r="M20" s="23">
        <f>I20+L20</f>
        <v/>
      </c>
      <c r="N20" s="23">
        <f>G20-M20</f>
        <v/>
      </c>
      <c r="O20" s="25">
        <f>IFERROR(N20/G20,0)</f>
        <v/>
      </c>
      <c r="P20" s="23">
        <f>N20</f>
        <v/>
      </c>
      <c r="Q20" s="23">
        <f>IFERROR(G20/Input!G20,0)</f>
        <v/>
      </c>
    </row>
    <row r="21">
      <c r="A21" s="11">
        <f>Input!A21</f>
        <v/>
      </c>
      <c r="B21" s="13">
        <f>E20</f>
        <v/>
      </c>
      <c r="C21" s="13">
        <f>Input!C21</f>
        <v/>
      </c>
      <c r="D21" s="13">
        <f>Input!D21</f>
        <v/>
      </c>
      <c r="E21" s="13">
        <f>B21+C21-D21</f>
        <v/>
      </c>
      <c r="F21" s="13">
        <f>C21-D21</f>
        <v/>
      </c>
      <c r="G21" s="20">
        <f>Input!B21</f>
        <v/>
      </c>
      <c r="H21" s="21">
        <f>IFERROR(G21/E21,0)</f>
        <v/>
      </c>
      <c r="I21" s="20">
        <f>Input!E21</f>
        <v/>
      </c>
      <c r="J21" s="20">
        <f>G21-I21</f>
        <v/>
      </c>
      <c r="K21" s="22">
        <f>IFERROR(J21/G21,0)</f>
        <v/>
      </c>
      <c r="L21" s="20">
        <f>Input!F21</f>
        <v/>
      </c>
      <c r="M21" s="20">
        <f>I21+L21</f>
        <v/>
      </c>
      <c r="N21" s="20">
        <f>G21-M21</f>
        <v/>
      </c>
      <c r="O21" s="22">
        <f>IFERROR(N21/G21,0)</f>
        <v/>
      </c>
      <c r="P21" s="20">
        <f>N21</f>
        <v/>
      </c>
      <c r="Q21" s="20">
        <f>IFERROR(G21/Input!G21,0)</f>
        <v/>
      </c>
    </row>
    <row r="22">
      <c r="A22" s="14">
        <f>Input!A22</f>
        <v/>
      </c>
      <c r="B22" s="16">
        <f>E21</f>
        <v/>
      </c>
      <c r="C22" s="16">
        <f>Input!C22</f>
        <v/>
      </c>
      <c r="D22" s="16">
        <f>Input!D22</f>
        <v/>
      </c>
      <c r="E22" s="16">
        <f>B22+C22-D22</f>
        <v/>
      </c>
      <c r="F22" s="16">
        <f>C22-D22</f>
        <v/>
      </c>
      <c r="G22" s="23">
        <f>Input!B22</f>
        <v/>
      </c>
      <c r="H22" s="24">
        <f>IFERROR(G22/E22,0)</f>
        <v/>
      </c>
      <c r="I22" s="23">
        <f>Input!E22</f>
        <v/>
      </c>
      <c r="J22" s="23">
        <f>G22-I22</f>
        <v/>
      </c>
      <c r="K22" s="25">
        <f>IFERROR(J22/G22,0)</f>
        <v/>
      </c>
      <c r="L22" s="23">
        <f>Input!F22</f>
        <v/>
      </c>
      <c r="M22" s="23">
        <f>I22+L22</f>
        <v/>
      </c>
      <c r="N22" s="23">
        <f>G22-M22</f>
        <v/>
      </c>
      <c r="O22" s="25">
        <f>IFERROR(N22/G22,0)</f>
        <v/>
      </c>
      <c r="P22" s="23">
        <f>N22</f>
        <v/>
      </c>
      <c r="Q22" s="23">
        <f>IFERROR(G22/Input!G22,0)</f>
        <v/>
      </c>
    </row>
    <row r="23">
      <c r="A23" s="11">
        <f>Input!A23</f>
        <v/>
      </c>
      <c r="B23" s="13">
        <f>E22</f>
        <v/>
      </c>
      <c r="C23" s="13">
        <f>Input!C23</f>
        <v/>
      </c>
      <c r="D23" s="13">
        <f>Input!D23</f>
        <v/>
      </c>
      <c r="E23" s="13">
        <f>B23+C23-D23</f>
        <v/>
      </c>
      <c r="F23" s="13">
        <f>C23-D23</f>
        <v/>
      </c>
      <c r="G23" s="20">
        <f>Input!B23</f>
        <v/>
      </c>
      <c r="H23" s="21">
        <f>IFERROR(G23/E23,0)</f>
        <v/>
      </c>
      <c r="I23" s="20">
        <f>Input!E23</f>
        <v/>
      </c>
      <c r="J23" s="20">
        <f>G23-I23</f>
        <v/>
      </c>
      <c r="K23" s="22">
        <f>IFERROR(J23/G23,0)</f>
        <v/>
      </c>
      <c r="L23" s="20">
        <f>Input!F23</f>
        <v/>
      </c>
      <c r="M23" s="20">
        <f>I23+L23</f>
        <v/>
      </c>
      <c r="N23" s="20">
        <f>G23-M23</f>
        <v/>
      </c>
      <c r="O23" s="22">
        <f>IFERROR(N23/G23,0)</f>
        <v/>
      </c>
      <c r="P23" s="20">
        <f>N23</f>
        <v/>
      </c>
      <c r="Q23" s="20">
        <f>IFERROR(G23/Input!G23,0)</f>
        <v/>
      </c>
    </row>
    <row r="24">
      <c r="A24" s="14">
        <f>Input!A24</f>
        <v/>
      </c>
      <c r="B24" s="16">
        <f>E23</f>
        <v/>
      </c>
      <c r="C24" s="16">
        <f>Input!C24</f>
        <v/>
      </c>
      <c r="D24" s="16">
        <f>Input!D24</f>
        <v/>
      </c>
      <c r="E24" s="16">
        <f>B24+C24-D24</f>
        <v/>
      </c>
      <c r="F24" s="16">
        <f>C24-D24</f>
        <v/>
      </c>
      <c r="G24" s="23">
        <f>Input!B24</f>
        <v/>
      </c>
      <c r="H24" s="24">
        <f>IFERROR(G24/E24,0)</f>
        <v/>
      </c>
      <c r="I24" s="23">
        <f>Input!E24</f>
        <v/>
      </c>
      <c r="J24" s="23">
        <f>G24-I24</f>
        <v/>
      </c>
      <c r="K24" s="25">
        <f>IFERROR(J24/G24,0)</f>
        <v/>
      </c>
      <c r="L24" s="23">
        <f>Input!F24</f>
        <v/>
      </c>
      <c r="M24" s="23">
        <f>I24+L24</f>
        <v/>
      </c>
      <c r="N24" s="23">
        <f>G24-M24</f>
        <v/>
      </c>
      <c r="O24" s="25">
        <f>IFERROR(N24/G24,0)</f>
        <v/>
      </c>
      <c r="P24" s="23">
        <f>N24</f>
        <v/>
      </c>
      <c r="Q24" s="23">
        <f>IFERROR(G24/Input!G24,0)</f>
        <v/>
      </c>
    </row>
    <row r="25">
      <c r="A25" s="11">
        <f>Input!A25</f>
        <v/>
      </c>
      <c r="B25" s="13">
        <f>E24</f>
        <v/>
      </c>
      <c r="C25" s="13">
        <f>Input!C25</f>
        <v/>
      </c>
      <c r="D25" s="13">
        <f>Input!D25</f>
        <v/>
      </c>
      <c r="E25" s="13">
        <f>B25+C25-D25</f>
        <v/>
      </c>
      <c r="F25" s="13">
        <f>C25-D25</f>
        <v/>
      </c>
      <c r="G25" s="20">
        <f>Input!B25</f>
        <v/>
      </c>
      <c r="H25" s="21">
        <f>IFERROR(G25/E25,0)</f>
        <v/>
      </c>
      <c r="I25" s="20">
        <f>Input!E25</f>
        <v/>
      </c>
      <c r="J25" s="20">
        <f>G25-I25</f>
        <v/>
      </c>
      <c r="K25" s="22">
        <f>IFERROR(J25/G25,0)</f>
        <v/>
      </c>
      <c r="L25" s="20">
        <f>Input!F25</f>
        <v/>
      </c>
      <c r="M25" s="20">
        <f>I25+L25</f>
        <v/>
      </c>
      <c r="N25" s="20">
        <f>G25-M25</f>
        <v/>
      </c>
      <c r="O25" s="22">
        <f>IFERROR(N25/G25,0)</f>
        <v/>
      </c>
      <c r="P25" s="20">
        <f>N25</f>
        <v/>
      </c>
      <c r="Q25" s="20">
        <f>IFERROR(G25/Input!G25,0)</f>
        <v/>
      </c>
    </row>
    <row r="26">
      <c r="A26" s="14">
        <f>Input!A26</f>
        <v/>
      </c>
      <c r="B26" s="16">
        <f>E25</f>
        <v/>
      </c>
      <c r="C26" s="16">
        <f>Input!C26</f>
        <v/>
      </c>
      <c r="D26" s="16">
        <f>Input!D26</f>
        <v/>
      </c>
      <c r="E26" s="16">
        <f>B26+C26-D26</f>
        <v/>
      </c>
      <c r="F26" s="16">
        <f>C26-D26</f>
        <v/>
      </c>
      <c r="G26" s="23">
        <f>Input!B26</f>
        <v/>
      </c>
      <c r="H26" s="24">
        <f>IFERROR(G26/E26,0)</f>
        <v/>
      </c>
      <c r="I26" s="23">
        <f>Input!E26</f>
        <v/>
      </c>
      <c r="J26" s="23">
        <f>G26-I26</f>
        <v/>
      </c>
      <c r="K26" s="25">
        <f>IFERROR(J26/G26,0)</f>
        <v/>
      </c>
      <c r="L26" s="23">
        <f>Input!F26</f>
        <v/>
      </c>
      <c r="M26" s="23">
        <f>I26+L26</f>
        <v/>
      </c>
      <c r="N26" s="23">
        <f>G26-M26</f>
        <v/>
      </c>
      <c r="O26" s="25">
        <f>IFERROR(N26/G26,0)</f>
        <v/>
      </c>
      <c r="P26" s="23">
        <f>N26</f>
        <v/>
      </c>
      <c r="Q26" s="23">
        <f>IFERROR(G26/Input!G26,0)</f>
        <v/>
      </c>
    </row>
    <row r="27">
      <c r="A27" s="11">
        <f>Input!A27</f>
        <v/>
      </c>
      <c r="B27" s="13">
        <f>E26</f>
        <v/>
      </c>
      <c r="C27" s="13">
        <f>Input!C27</f>
        <v/>
      </c>
      <c r="D27" s="13">
        <f>Input!D27</f>
        <v/>
      </c>
      <c r="E27" s="13">
        <f>B27+C27-D27</f>
        <v/>
      </c>
      <c r="F27" s="13">
        <f>C27-D27</f>
        <v/>
      </c>
      <c r="G27" s="20">
        <f>Input!B27</f>
        <v/>
      </c>
      <c r="H27" s="21">
        <f>IFERROR(G27/E27,0)</f>
        <v/>
      </c>
      <c r="I27" s="20">
        <f>Input!E27</f>
        <v/>
      </c>
      <c r="J27" s="20">
        <f>G27-I27</f>
        <v/>
      </c>
      <c r="K27" s="22">
        <f>IFERROR(J27/G27,0)</f>
        <v/>
      </c>
      <c r="L27" s="20">
        <f>Input!F27</f>
        <v/>
      </c>
      <c r="M27" s="20">
        <f>I27+L27</f>
        <v/>
      </c>
      <c r="N27" s="20">
        <f>G27-M27</f>
        <v/>
      </c>
      <c r="O27" s="22">
        <f>IFERROR(N27/G27,0)</f>
        <v/>
      </c>
      <c r="P27" s="20">
        <f>N27</f>
        <v/>
      </c>
      <c r="Q27" s="20">
        <f>IFERROR(G27/Input!G27,0)</f>
        <v/>
      </c>
    </row>
    <row r="28">
      <c r="A28" s="14">
        <f>Input!A28</f>
        <v/>
      </c>
      <c r="B28" s="16">
        <f>E27</f>
        <v/>
      </c>
      <c r="C28" s="16">
        <f>Input!C28</f>
        <v/>
      </c>
      <c r="D28" s="16">
        <f>Input!D28</f>
        <v/>
      </c>
      <c r="E28" s="16">
        <f>B28+C28-D28</f>
        <v/>
      </c>
      <c r="F28" s="16">
        <f>C28-D28</f>
        <v/>
      </c>
      <c r="G28" s="23">
        <f>Input!B28</f>
        <v/>
      </c>
      <c r="H28" s="24">
        <f>IFERROR(G28/E28,0)</f>
        <v/>
      </c>
      <c r="I28" s="23">
        <f>Input!E28</f>
        <v/>
      </c>
      <c r="J28" s="23">
        <f>G28-I28</f>
        <v/>
      </c>
      <c r="K28" s="25">
        <f>IFERROR(J28/G28,0)</f>
        <v/>
      </c>
      <c r="L28" s="23">
        <f>Input!F28</f>
        <v/>
      </c>
      <c r="M28" s="23">
        <f>I28+L28</f>
        <v/>
      </c>
      <c r="N28" s="23">
        <f>G28-M28</f>
        <v/>
      </c>
      <c r="O28" s="25">
        <f>IFERROR(N28/G28,0)</f>
        <v/>
      </c>
      <c r="P28" s="23">
        <f>N28</f>
        <v/>
      </c>
      <c r="Q28" s="23">
        <f>IFERROR(G28/Input!G28,0)</f>
        <v/>
      </c>
    </row>
    <row r="29">
      <c r="A29" s="11">
        <f>Input!A29</f>
        <v/>
      </c>
      <c r="B29" s="13">
        <f>E28</f>
        <v/>
      </c>
      <c r="C29" s="13">
        <f>Input!C29</f>
        <v/>
      </c>
      <c r="D29" s="13">
        <f>Input!D29</f>
        <v/>
      </c>
      <c r="E29" s="13">
        <f>B29+C29-D29</f>
        <v/>
      </c>
      <c r="F29" s="13">
        <f>C29-D29</f>
        <v/>
      </c>
      <c r="G29" s="20">
        <f>Input!B29</f>
        <v/>
      </c>
      <c r="H29" s="21">
        <f>IFERROR(G29/E29,0)</f>
        <v/>
      </c>
      <c r="I29" s="20">
        <f>Input!E29</f>
        <v/>
      </c>
      <c r="J29" s="20">
        <f>G29-I29</f>
        <v/>
      </c>
      <c r="K29" s="22">
        <f>IFERROR(J29/G29,0)</f>
        <v/>
      </c>
      <c r="L29" s="20">
        <f>Input!F29</f>
        <v/>
      </c>
      <c r="M29" s="20">
        <f>I29+L29</f>
        <v/>
      </c>
      <c r="N29" s="20">
        <f>G29-M29</f>
        <v/>
      </c>
      <c r="O29" s="22">
        <f>IFERROR(N29/G29,0)</f>
        <v/>
      </c>
      <c r="P29" s="20">
        <f>N29</f>
        <v/>
      </c>
      <c r="Q29" s="20">
        <f>IFERROR(G29/Input!G29,0)</f>
        <v/>
      </c>
    </row>
    <row r="30">
      <c r="A30" s="14">
        <f>Input!A30</f>
        <v/>
      </c>
      <c r="B30" s="16">
        <f>E29</f>
        <v/>
      </c>
      <c r="C30" s="16">
        <f>Input!C30</f>
        <v/>
      </c>
      <c r="D30" s="16">
        <f>Input!D30</f>
        <v/>
      </c>
      <c r="E30" s="16">
        <f>B30+C30-D30</f>
        <v/>
      </c>
      <c r="F30" s="16">
        <f>C30-D30</f>
        <v/>
      </c>
      <c r="G30" s="23">
        <f>Input!B30</f>
        <v/>
      </c>
      <c r="H30" s="24">
        <f>IFERROR(G30/E30,0)</f>
        <v/>
      </c>
      <c r="I30" s="23">
        <f>Input!E30</f>
        <v/>
      </c>
      <c r="J30" s="23">
        <f>G30-I30</f>
        <v/>
      </c>
      <c r="K30" s="25">
        <f>IFERROR(J30/G30,0)</f>
        <v/>
      </c>
      <c r="L30" s="23">
        <f>Input!F30</f>
        <v/>
      </c>
      <c r="M30" s="23">
        <f>I30+L30</f>
        <v/>
      </c>
      <c r="N30" s="23">
        <f>G30-M30</f>
        <v/>
      </c>
      <c r="O30" s="25">
        <f>IFERROR(N30/G30,0)</f>
        <v/>
      </c>
      <c r="P30" s="23">
        <f>N30</f>
        <v/>
      </c>
      <c r="Q30" s="23">
        <f>IFERROR(G30/Input!G30,0)</f>
        <v/>
      </c>
    </row>
    <row r="31">
      <c r="A31" s="11">
        <f>Input!A31</f>
        <v/>
      </c>
      <c r="B31" s="13">
        <f>E30</f>
        <v/>
      </c>
      <c r="C31" s="13">
        <f>Input!C31</f>
        <v/>
      </c>
      <c r="D31" s="13">
        <f>Input!D31</f>
        <v/>
      </c>
      <c r="E31" s="13">
        <f>B31+C31-D31</f>
        <v/>
      </c>
      <c r="F31" s="13">
        <f>C31-D31</f>
        <v/>
      </c>
      <c r="G31" s="20">
        <f>Input!B31</f>
        <v/>
      </c>
      <c r="H31" s="21">
        <f>IFERROR(G31/E31,0)</f>
        <v/>
      </c>
      <c r="I31" s="20">
        <f>Input!E31</f>
        <v/>
      </c>
      <c r="J31" s="20">
        <f>G31-I31</f>
        <v/>
      </c>
      <c r="K31" s="22">
        <f>IFERROR(J31/G31,0)</f>
        <v/>
      </c>
      <c r="L31" s="20">
        <f>Input!F31</f>
        <v/>
      </c>
      <c r="M31" s="20">
        <f>I31+L31</f>
        <v/>
      </c>
      <c r="N31" s="20">
        <f>G31-M31</f>
        <v/>
      </c>
      <c r="O31" s="22">
        <f>IFERROR(N31/G31,0)</f>
        <v/>
      </c>
      <c r="P31" s="20">
        <f>N31</f>
        <v/>
      </c>
      <c r="Q31" s="20">
        <f>IFERROR(G31/Input!G31,0)</f>
        <v/>
      </c>
    </row>
    <row r="32">
      <c r="A32" s="14">
        <f>Input!A32</f>
        <v/>
      </c>
      <c r="B32" s="16">
        <f>E31</f>
        <v/>
      </c>
      <c r="C32" s="16">
        <f>Input!C32</f>
        <v/>
      </c>
      <c r="D32" s="16">
        <f>Input!D32</f>
        <v/>
      </c>
      <c r="E32" s="16">
        <f>B32+C32-D32</f>
        <v/>
      </c>
      <c r="F32" s="16">
        <f>C32-D32</f>
        <v/>
      </c>
      <c r="G32" s="23">
        <f>Input!B32</f>
        <v/>
      </c>
      <c r="H32" s="24">
        <f>IFERROR(G32/E32,0)</f>
        <v/>
      </c>
      <c r="I32" s="23">
        <f>Input!E32</f>
        <v/>
      </c>
      <c r="J32" s="23">
        <f>G32-I32</f>
        <v/>
      </c>
      <c r="K32" s="25">
        <f>IFERROR(J32/G32,0)</f>
        <v/>
      </c>
      <c r="L32" s="23">
        <f>Input!F32</f>
        <v/>
      </c>
      <c r="M32" s="23">
        <f>I32+L32</f>
        <v/>
      </c>
      <c r="N32" s="23">
        <f>G32-M32</f>
        <v/>
      </c>
      <c r="O32" s="25">
        <f>IFERROR(N32/G32,0)</f>
        <v/>
      </c>
      <c r="P32" s="23">
        <f>N32</f>
        <v/>
      </c>
      <c r="Q32" s="23">
        <f>IFERROR(G32/Input!G32,0)</f>
        <v/>
      </c>
    </row>
    <row r="33">
      <c r="A33" s="11">
        <f>Input!A33</f>
        <v/>
      </c>
      <c r="B33" s="13">
        <f>E32</f>
        <v/>
      </c>
      <c r="C33" s="13">
        <f>Input!C33</f>
        <v/>
      </c>
      <c r="D33" s="13">
        <f>Input!D33</f>
        <v/>
      </c>
      <c r="E33" s="13">
        <f>B33+C33-D33</f>
        <v/>
      </c>
      <c r="F33" s="13">
        <f>C33-D33</f>
        <v/>
      </c>
      <c r="G33" s="20">
        <f>Input!B33</f>
        <v/>
      </c>
      <c r="H33" s="21">
        <f>IFERROR(G33/E33,0)</f>
        <v/>
      </c>
      <c r="I33" s="20">
        <f>Input!E33</f>
        <v/>
      </c>
      <c r="J33" s="20">
        <f>G33-I33</f>
        <v/>
      </c>
      <c r="K33" s="22">
        <f>IFERROR(J33/G33,0)</f>
        <v/>
      </c>
      <c r="L33" s="20">
        <f>Input!F33</f>
        <v/>
      </c>
      <c r="M33" s="20">
        <f>I33+L33</f>
        <v/>
      </c>
      <c r="N33" s="20">
        <f>G33-M33</f>
        <v/>
      </c>
      <c r="O33" s="22">
        <f>IFERROR(N33/G33,0)</f>
        <v/>
      </c>
      <c r="P33" s="20">
        <f>N33</f>
        <v/>
      </c>
      <c r="Q33" s="20">
        <f>IFERROR(G33/Input!G33,0)</f>
        <v/>
      </c>
    </row>
    <row r="34">
      <c r="A34" s="14">
        <f>Input!A34</f>
        <v/>
      </c>
      <c r="B34" s="16">
        <f>E33</f>
        <v/>
      </c>
      <c r="C34" s="16">
        <f>Input!C34</f>
        <v/>
      </c>
      <c r="D34" s="16">
        <f>Input!D34</f>
        <v/>
      </c>
      <c r="E34" s="16">
        <f>B34+C34-D34</f>
        <v/>
      </c>
      <c r="F34" s="16">
        <f>C34-D34</f>
        <v/>
      </c>
      <c r="G34" s="23">
        <f>Input!B34</f>
        <v/>
      </c>
      <c r="H34" s="24">
        <f>IFERROR(G34/E34,0)</f>
        <v/>
      </c>
      <c r="I34" s="23">
        <f>Input!E34</f>
        <v/>
      </c>
      <c r="J34" s="23">
        <f>G34-I34</f>
        <v/>
      </c>
      <c r="K34" s="25">
        <f>IFERROR(J34/G34,0)</f>
        <v/>
      </c>
      <c r="L34" s="23">
        <f>Input!F34</f>
        <v/>
      </c>
      <c r="M34" s="23">
        <f>I34+L34</f>
        <v/>
      </c>
      <c r="N34" s="23">
        <f>G34-M34</f>
        <v/>
      </c>
      <c r="O34" s="25">
        <f>IFERROR(N34/G34,0)</f>
        <v/>
      </c>
      <c r="P34" s="23">
        <f>N34</f>
        <v/>
      </c>
      <c r="Q34" s="23">
        <f>IFERROR(G34/Input!G34,0)</f>
        <v/>
      </c>
    </row>
    <row r="35">
      <c r="A35" s="11">
        <f>Input!A35</f>
        <v/>
      </c>
      <c r="B35" s="13">
        <f>E34</f>
        <v/>
      </c>
      <c r="C35" s="13">
        <f>Input!C35</f>
        <v/>
      </c>
      <c r="D35" s="13">
        <f>Input!D35</f>
        <v/>
      </c>
      <c r="E35" s="13">
        <f>B35+C35-D35</f>
        <v/>
      </c>
      <c r="F35" s="13">
        <f>C35-D35</f>
        <v/>
      </c>
      <c r="G35" s="20">
        <f>Input!B35</f>
        <v/>
      </c>
      <c r="H35" s="21">
        <f>IFERROR(G35/E35,0)</f>
        <v/>
      </c>
      <c r="I35" s="20">
        <f>Input!E35</f>
        <v/>
      </c>
      <c r="J35" s="20">
        <f>G35-I35</f>
        <v/>
      </c>
      <c r="K35" s="22">
        <f>IFERROR(J35/G35,0)</f>
        <v/>
      </c>
      <c r="L35" s="20">
        <f>Input!F35</f>
        <v/>
      </c>
      <c r="M35" s="20">
        <f>I35+L35</f>
        <v/>
      </c>
      <c r="N35" s="20">
        <f>G35-M35</f>
        <v/>
      </c>
      <c r="O35" s="22">
        <f>IFERROR(N35/G35,0)</f>
        <v/>
      </c>
      <c r="P35" s="20">
        <f>N35</f>
        <v/>
      </c>
      <c r="Q35" s="20">
        <f>IFERROR(G35/Input!G35,0)</f>
        <v/>
      </c>
    </row>
    <row r="36">
      <c r="A36" s="14">
        <f>Input!A36</f>
        <v/>
      </c>
      <c r="B36" s="16">
        <f>E35</f>
        <v/>
      </c>
      <c r="C36" s="16">
        <f>Input!C36</f>
        <v/>
      </c>
      <c r="D36" s="16">
        <f>Input!D36</f>
        <v/>
      </c>
      <c r="E36" s="16">
        <f>B36+C36-D36</f>
        <v/>
      </c>
      <c r="F36" s="16">
        <f>C36-D36</f>
        <v/>
      </c>
      <c r="G36" s="23">
        <f>Input!B36</f>
        <v/>
      </c>
      <c r="H36" s="24">
        <f>IFERROR(G36/E36,0)</f>
        <v/>
      </c>
      <c r="I36" s="23">
        <f>Input!E36</f>
        <v/>
      </c>
      <c r="J36" s="23">
        <f>G36-I36</f>
        <v/>
      </c>
      <c r="K36" s="25">
        <f>IFERROR(J36/G36,0)</f>
        <v/>
      </c>
      <c r="L36" s="23">
        <f>Input!F36</f>
        <v/>
      </c>
      <c r="M36" s="23">
        <f>I36+L36</f>
        <v/>
      </c>
      <c r="N36" s="23">
        <f>G36-M36</f>
        <v/>
      </c>
      <c r="O36" s="25">
        <f>IFERROR(N36/G36,0)</f>
        <v/>
      </c>
      <c r="P36" s="23">
        <f>N36</f>
        <v/>
      </c>
      <c r="Q36" s="23">
        <f>IFERROR(G36/Input!G36,0)</f>
        <v/>
      </c>
    </row>
    <row r="37">
      <c r="A37" s="11">
        <f>Input!A37</f>
        <v/>
      </c>
      <c r="B37" s="13">
        <f>E36</f>
        <v/>
      </c>
      <c r="C37" s="13">
        <f>Input!C37</f>
        <v/>
      </c>
      <c r="D37" s="13">
        <f>Input!D37</f>
        <v/>
      </c>
      <c r="E37" s="13">
        <f>B37+C37-D37</f>
        <v/>
      </c>
      <c r="F37" s="13">
        <f>C37-D37</f>
        <v/>
      </c>
      <c r="G37" s="20">
        <f>Input!B37</f>
        <v/>
      </c>
      <c r="H37" s="21">
        <f>IFERROR(G37/E37,0)</f>
        <v/>
      </c>
      <c r="I37" s="20">
        <f>Input!E37</f>
        <v/>
      </c>
      <c r="J37" s="20">
        <f>G37-I37</f>
        <v/>
      </c>
      <c r="K37" s="22">
        <f>IFERROR(J37/G37,0)</f>
        <v/>
      </c>
      <c r="L37" s="20">
        <f>Input!F37</f>
        <v/>
      </c>
      <c r="M37" s="20">
        <f>I37+L37</f>
        <v/>
      </c>
      <c r="N37" s="20">
        <f>G37-M37</f>
        <v/>
      </c>
      <c r="O37" s="22">
        <f>IFERROR(N37/G37,0)</f>
        <v/>
      </c>
      <c r="P37" s="20">
        <f>N37</f>
        <v/>
      </c>
      <c r="Q37" s="20">
        <f>IFERROR(G37/Input!G37,0)</f>
        <v/>
      </c>
    </row>
    <row r="38">
      <c r="A38" s="14">
        <f>Input!A38</f>
        <v/>
      </c>
      <c r="B38" s="16">
        <f>E37</f>
        <v/>
      </c>
      <c r="C38" s="16">
        <f>Input!C38</f>
        <v/>
      </c>
      <c r="D38" s="16">
        <f>Input!D38</f>
        <v/>
      </c>
      <c r="E38" s="16">
        <f>B38+C38-D38</f>
        <v/>
      </c>
      <c r="F38" s="16">
        <f>C38-D38</f>
        <v/>
      </c>
      <c r="G38" s="23">
        <f>Input!B38</f>
        <v/>
      </c>
      <c r="H38" s="24">
        <f>IFERROR(G38/E38,0)</f>
        <v/>
      </c>
      <c r="I38" s="23">
        <f>Input!E38</f>
        <v/>
      </c>
      <c r="J38" s="23">
        <f>G38-I38</f>
        <v/>
      </c>
      <c r="K38" s="25">
        <f>IFERROR(J38/G38,0)</f>
        <v/>
      </c>
      <c r="L38" s="23">
        <f>Input!F38</f>
        <v/>
      </c>
      <c r="M38" s="23">
        <f>I38+L38</f>
        <v/>
      </c>
      <c r="N38" s="23">
        <f>G38-M38</f>
        <v/>
      </c>
      <c r="O38" s="25">
        <f>IFERROR(N38/G38,0)</f>
        <v/>
      </c>
      <c r="P38" s="23">
        <f>N38</f>
        <v/>
      </c>
      <c r="Q38" s="23">
        <f>IFERROR(G38/Input!G38,0)</f>
        <v/>
      </c>
    </row>
    <row r="39">
      <c r="A39" s="11">
        <f>Input!A39</f>
        <v/>
      </c>
      <c r="B39" s="13">
        <f>E38</f>
        <v/>
      </c>
      <c r="C39" s="13">
        <f>Input!C39</f>
        <v/>
      </c>
      <c r="D39" s="13">
        <f>Input!D39</f>
        <v/>
      </c>
      <c r="E39" s="13">
        <f>B39+C39-D39</f>
        <v/>
      </c>
      <c r="F39" s="13">
        <f>C39-D39</f>
        <v/>
      </c>
      <c r="G39" s="20">
        <f>Input!B39</f>
        <v/>
      </c>
      <c r="H39" s="21">
        <f>IFERROR(G39/E39,0)</f>
        <v/>
      </c>
      <c r="I39" s="20">
        <f>Input!E39</f>
        <v/>
      </c>
      <c r="J39" s="20">
        <f>G39-I39</f>
        <v/>
      </c>
      <c r="K39" s="22">
        <f>IFERROR(J39/G39,0)</f>
        <v/>
      </c>
      <c r="L39" s="20">
        <f>Input!F39</f>
        <v/>
      </c>
      <c r="M39" s="20">
        <f>I39+L39</f>
        <v/>
      </c>
      <c r="N39" s="20">
        <f>G39-M39</f>
        <v/>
      </c>
      <c r="O39" s="22">
        <f>IFERROR(N39/G39,0)</f>
        <v/>
      </c>
      <c r="P39" s="20">
        <f>N39</f>
        <v/>
      </c>
      <c r="Q39" s="20">
        <f>IFERROR(G39/Input!G39,0)</f>
        <v/>
      </c>
    </row>
    <row r="40">
      <c r="A40" s="14">
        <f>Input!A40</f>
        <v/>
      </c>
      <c r="B40" s="16">
        <f>E39</f>
        <v/>
      </c>
      <c r="C40" s="16">
        <f>Input!C40</f>
        <v/>
      </c>
      <c r="D40" s="16">
        <f>Input!D40</f>
        <v/>
      </c>
      <c r="E40" s="16">
        <f>B40+C40-D40</f>
        <v/>
      </c>
      <c r="F40" s="16">
        <f>C40-D40</f>
        <v/>
      </c>
      <c r="G40" s="23">
        <f>Input!B40</f>
        <v/>
      </c>
      <c r="H40" s="24">
        <f>IFERROR(G40/E40,0)</f>
        <v/>
      </c>
      <c r="I40" s="23">
        <f>Input!E40</f>
        <v/>
      </c>
      <c r="J40" s="23">
        <f>G40-I40</f>
        <v/>
      </c>
      <c r="K40" s="25">
        <f>IFERROR(J40/G40,0)</f>
        <v/>
      </c>
      <c r="L40" s="23">
        <f>Input!F40</f>
        <v/>
      </c>
      <c r="M40" s="23">
        <f>I40+L40</f>
        <v/>
      </c>
      <c r="N40" s="23">
        <f>G40-M40</f>
        <v/>
      </c>
      <c r="O40" s="25">
        <f>IFERROR(N40/G40,0)</f>
        <v/>
      </c>
      <c r="P40" s="23">
        <f>N40</f>
        <v/>
      </c>
      <c r="Q40" s="23">
        <f>IFERROR(G40/Input!G40,0)</f>
        <v/>
      </c>
    </row>
    <row r="42">
      <c r="A42" s="26" t="inlineStr">
        <is>
          <t>TTM (last 12 mo)</t>
        </is>
      </c>
      <c r="B42" s="27" t="n"/>
      <c r="C42" s="28">
        <f>SUM(C29:C40)</f>
        <v/>
      </c>
      <c r="D42" s="28">
        <f>SUM(D29:D40)</f>
        <v/>
      </c>
      <c r="E42" s="27" t="n"/>
      <c r="F42" s="27" t="n"/>
      <c r="G42" s="29">
        <f>SUM(G29:G40)</f>
        <v/>
      </c>
      <c r="H42" s="27" t="n"/>
      <c r="I42" s="29">
        <f>SUM(I29:I40)</f>
        <v/>
      </c>
      <c r="J42" s="29">
        <f>SUM(J29:J40)</f>
        <v/>
      </c>
      <c r="K42" s="27" t="n"/>
      <c r="L42" s="29">
        <f>SUM(L29:L40)</f>
        <v/>
      </c>
      <c r="M42" s="27" t="n"/>
      <c r="N42" s="29">
        <f>SUM(N29:N40)</f>
        <v/>
      </c>
      <c r="O42" s="27" t="n"/>
      <c r="P42" s="27" t="n"/>
      <c r="Q42" s="27"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9" t="inlineStr">
        <is>
          <t>Unit Economics — trailing 12-month rolling</t>
        </is>
      </c>
    </row>
    <row r="2">
      <c r="A2" s="8" t="inlineStr">
        <is>
          <t>CAC = T12M S&amp;M ÷ T12M new customers · LTV = ARPA × GM ÷ monthly churn (point-in-time) · Payback = CAC ÷ (ARPA × GM)</t>
        </is>
      </c>
    </row>
    <row r="4" ht="30" customHeight="1">
      <c r="A4" s="19" t="inlineStr">
        <is>
          <t>month</t>
        </is>
      </c>
      <c r="B4" s="19" t="inlineStr">
        <is>
          <t>customers_end</t>
        </is>
      </c>
      <c r="C4" s="19" t="inlineStr">
        <is>
          <t>arpa</t>
        </is>
      </c>
      <c r="D4" s="19" t="inlineStr">
        <is>
          <t>gross_margin</t>
        </is>
      </c>
      <c r="E4" s="19" t="inlineStr">
        <is>
          <t>monthly_churn</t>
        </is>
      </c>
      <c r="F4" s="19" t="inlineStr">
        <is>
          <t>t12m_sm</t>
        </is>
      </c>
      <c r="G4" s="19" t="inlineStr">
        <is>
          <t>t12m_new</t>
        </is>
      </c>
      <c r="H4" s="19" t="inlineStr">
        <is>
          <t>cac</t>
        </is>
      </c>
      <c r="I4" s="19" t="inlineStr">
        <is>
          <t>ltv</t>
        </is>
      </c>
      <c r="J4" s="19" t="inlineStr">
        <is>
          <t>ltv_cac</t>
        </is>
      </c>
      <c r="K4" s="19" t="inlineStr">
        <is>
          <t>cac_payback_months</t>
        </is>
      </c>
    </row>
    <row r="5">
      <c r="A5" s="11">
        <f>Model!A5</f>
        <v/>
      </c>
      <c r="B5" s="13">
        <f>Model!E5</f>
        <v/>
      </c>
      <c r="C5" s="21">
        <f>Model!H5</f>
        <v/>
      </c>
      <c r="D5" s="22">
        <f>Model!K5</f>
        <v/>
      </c>
      <c r="E5" s="22">
        <f>IFERROR(Model!D5/Model!B5,0)</f>
        <v/>
      </c>
      <c r="F5" s="30">
        <f>SUM(Model!L5:L5)</f>
        <v/>
      </c>
      <c r="G5" s="13">
        <f>SUM(Model!C5:C5)</f>
        <v/>
      </c>
      <c r="H5" s="21">
        <f>IFERROR(F5/G5,0)</f>
        <v/>
      </c>
      <c r="I5" s="21">
        <f>IFERROR(C5*D5/E5,0)</f>
        <v/>
      </c>
      <c r="J5" s="31">
        <f>IFERROR(I5/H5,0)</f>
        <v/>
      </c>
      <c r="K5" s="31">
        <f>IFERROR(H5/(C5*D5),0)</f>
        <v/>
      </c>
    </row>
    <row r="6">
      <c r="A6" s="14">
        <f>Model!A6</f>
        <v/>
      </c>
      <c r="B6" s="16">
        <f>Model!E6</f>
        <v/>
      </c>
      <c r="C6" s="24">
        <f>Model!H6</f>
        <v/>
      </c>
      <c r="D6" s="25">
        <f>Model!K6</f>
        <v/>
      </c>
      <c r="E6" s="25">
        <f>IFERROR(Model!D6/Model!B6,0)</f>
        <v/>
      </c>
      <c r="F6" s="32">
        <f>SUM(Model!L5:L6)</f>
        <v/>
      </c>
      <c r="G6" s="16">
        <f>SUM(Model!C5:C6)</f>
        <v/>
      </c>
      <c r="H6" s="24">
        <f>IFERROR(F6/G6,0)</f>
        <v/>
      </c>
      <c r="I6" s="24">
        <f>IFERROR(C6*D6/E6,0)</f>
        <v/>
      </c>
      <c r="J6" s="33">
        <f>IFERROR(I6/H6,0)</f>
        <v/>
      </c>
      <c r="K6" s="33">
        <f>IFERROR(H6/(C6*D6),0)</f>
        <v/>
      </c>
    </row>
    <row r="7">
      <c r="A7" s="11">
        <f>Model!A7</f>
        <v/>
      </c>
      <c r="B7" s="13">
        <f>Model!E7</f>
        <v/>
      </c>
      <c r="C7" s="21">
        <f>Model!H7</f>
        <v/>
      </c>
      <c r="D7" s="22">
        <f>Model!K7</f>
        <v/>
      </c>
      <c r="E7" s="22">
        <f>IFERROR(Model!D7/Model!B7,0)</f>
        <v/>
      </c>
      <c r="F7" s="30">
        <f>SUM(Model!L5:L7)</f>
        <v/>
      </c>
      <c r="G7" s="13">
        <f>SUM(Model!C5:C7)</f>
        <v/>
      </c>
      <c r="H7" s="21">
        <f>IFERROR(F7/G7,0)</f>
        <v/>
      </c>
      <c r="I7" s="21">
        <f>IFERROR(C7*D7/E7,0)</f>
        <v/>
      </c>
      <c r="J7" s="31">
        <f>IFERROR(I7/H7,0)</f>
        <v/>
      </c>
      <c r="K7" s="31">
        <f>IFERROR(H7/(C7*D7),0)</f>
        <v/>
      </c>
    </row>
    <row r="8">
      <c r="A8" s="14">
        <f>Model!A8</f>
        <v/>
      </c>
      <c r="B8" s="16">
        <f>Model!E8</f>
        <v/>
      </c>
      <c r="C8" s="24">
        <f>Model!H8</f>
        <v/>
      </c>
      <c r="D8" s="25">
        <f>Model!K8</f>
        <v/>
      </c>
      <c r="E8" s="25">
        <f>IFERROR(Model!D8/Model!B8,0)</f>
        <v/>
      </c>
      <c r="F8" s="32">
        <f>SUM(Model!L5:L8)</f>
        <v/>
      </c>
      <c r="G8" s="16">
        <f>SUM(Model!C5:C8)</f>
        <v/>
      </c>
      <c r="H8" s="24">
        <f>IFERROR(F8/G8,0)</f>
        <v/>
      </c>
      <c r="I8" s="24">
        <f>IFERROR(C8*D8/E8,0)</f>
        <v/>
      </c>
      <c r="J8" s="33">
        <f>IFERROR(I8/H8,0)</f>
        <v/>
      </c>
      <c r="K8" s="33">
        <f>IFERROR(H8/(C8*D8),0)</f>
        <v/>
      </c>
    </row>
    <row r="9">
      <c r="A9" s="11">
        <f>Model!A9</f>
        <v/>
      </c>
      <c r="B9" s="13">
        <f>Model!E9</f>
        <v/>
      </c>
      <c r="C9" s="21">
        <f>Model!H9</f>
        <v/>
      </c>
      <c r="D9" s="22">
        <f>Model!K9</f>
        <v/>
      </c>
      <c r="E9" s="22">
        <f>IFERROR(Model!D9/Model!B9,0)</f>
        <v/>
      </c>
      <c r="F9" s="30">
        <f>SUM(Model!L5:L9)</f>
        <v/>
      </c>
      <c r="G9" s="13">
        <f>SUM(Model!C5:C9)</f>
        <v/>
      </c>
      <c r="H9" s="21">
        <f>IFERROR(F9/G9,0)</f>
        <v/>
      </c>
      <c r="I9" s="21">
        <f>IFERROR(C9*D9/E9,0)</f>
        <v/>
      </c>
      <c r="J9" s="31">
        <f>IFERROR(I9/H9,0)</f>
        <v/>
      </c>
      <c r="K9" s="31">
        <f>IFERROR(H9/(C9*D9),0)</f>
        <v/>
      </c>
    </row>
    <row r="10">
      <c r="A10" s="14">
        <f>Model!A10</f>
        <v/>
      </c>
      <c r="B10" s="16">
        <f>Model!E10</f>
        <v/>
      </c>
      <c r="C10" s="24">
        <f>Model!H10</f>
        <v/>
      </c>
      <c r="D10" s="25">
        <f>Model!K10</f>
        <v/>
      </c>
      <c r="E10" s="25">
        <f>IFERROR(Model!D10/Model!B10,0)</f>
        <v/>
      </c>
      <c r="F10" s="32">
        <f>SUM(Model!L5:L10)</f>
        <v/>
      </c>
      <c r="G10" s="16">
        <f>SUM(Model!C5:C10)</f>
        <v/>
      </c>
      <c r="H10" s="24">
        <f>IFERROR(F10/G10,0)</f>
        <v/>
      </c>
      <c r="I10" s="24">
        <f>IFERROR(C10*D10/E10,0)</f>
        <v/>
      </c>
      <c r="J10" s="33">
        <f>IFERROR(I10/H10,0)</f>
        <v/>
      </c>
      <c r="K10" s="33">
        <f>IFERROR(H10/(C10*D10),0)</f>
        <v/>
      </c>
    </row>
    <row r="11">
      <c r="A11" s="11">
        <f>Model!A11</f>
        <v/>
      </c>
      <c r="B11" s="13">
        <f>Model!E11</f>
        <v/>
      </c>
      <c r="C11" s="21">
        <f>Model!H11</f>
        <v/>
      </c>
      <c r="D11" s="22">
        <f>Model!K11</f>
        <v/>
      </c>
      <c r="E11" s="22">
        <f>IFERROR(Model!D11/Model!B11,0)</f>
        <v/>
      </c>
      <c r="F11" s="30">
        <f>SUM(Model!L5:L11)</f>
        <v/>
      </c>
      <c r="G11" s="13">
        <f>SUM(Model!C5:C11)</f>
        <v/>
      </c>
      <c r="H11" s="21">
        <f>IFERROR(F11/G11,0)</f>
        <v/>
      </c>
      <c r="I11" s="21">
        <f>IFERROR(C11*D11/E11,0)</f>
        <v/>
      </c>
      <c r="J11" s="31">
        <f>IFERROR(I11/H11,0)</f>
        <v/>
      </c>
      <c r="K11" s="31">
        <f>IFERROR(H11/(C11*D11),0)</f>
        <v/>
      </c>
    </row>
    <row r="12">
      <c r="A12" s="14">
        <f>Model!A12</f>
        <v/>
      </c>
      <c r="B12" s="16">
        <f>Model!E12</f>
        <v/>
      </c>
      <c r="C12" s="24">
        <f>Model!H12</f>
        <v/>
      </c>
      <c r="D12" s="25">
        <f>Model!K12</f>
        <v/>
      </c>
      <c r="E12" s="25">
        <f>IFERROR(Model!D12/Model!B12,0)</f>
        <v/>
      </c>
      <c r="F12" s="32">
        <f>SUM(Model!L5:L12)</f>
        <v/>
      </c>
      <c r="G12" s="16">
        <f>SUM(Model!C5:C12)</f>
        <v/>
      </c>
      <c r="H12" s="24">
        <f>IFERROR(F12/G12,0)</f>
        <v/>
      </c>
      <c r="I12" s="24">
        <f>IFERROR(C12*D12/E12,0)</f>
        <v/>
      </c>
      <c r="J12" s="33">
        <f>IFERROR(I12/H12,0)</f>
        <v/>
      </c>
      <c r="K12" s="33">
        <f>IFERROR(H12/(C12*D12),0)</f>
        <v/>
      </c>
    </row>
    <row r="13">
      <c r="A13" s="11">
        <f>Model!A13</f>
        <v/>
      </c>
      <c r="B13" s="13">
        <f>Model!E13</f>
        <v/>
      </c>
      <c r="C13" s="21">
        <f>Model!H13</f>
        <v/>
      </c>
      <c r="D13" s="22">
        <f>Model!K13</f>
        <v/>
      </c>
      <c r="E13" s="22">
        <f>IFERROR(Model!D13/Model!B13,0)</f>
        <v/>
      </c>
      <c r="F13" s="30">
        <f>SUM(Model!L5:L13)</f>
        <v/>
      </c>
      <c r="G13" s="13">
        <f>SUM(Model!C5:C13)</f>
        <v/>
      </c>
      <c r="H13" s="21">
        <f>IFERROR(F13/G13,0)</f>
        <v/>
      </c>
      <c r="I13" s="21">
        <f>IFERROR(C13*D13/E13,0)</f>
        <v/>
      </c>
      <c r="J13" s="31">
        <f>IFERROR(I13/H13,0)</f>
        <v/>
      </c>
      <c r="K13" s="31">
        <f>IFERROR(H13/(C13*D13),0)</f>
        <v/>
      </c>
    </row>
    <row r="14">
      <c r="A14" s="14">
        <f>Model!A14</f>
        <v/>
      </c>
      <c r="B14" s="16">
        <f>Model!E14</f>
        <v/>
      </c>
      <c r="C14" s="24">
        <f>Model!H14</f>
        <v/>
      </c>
      <c r="D14" s="25">
        <f>Model!K14</f>
        <v/>
      </c>
      <c r="E14" s="25">
        <f>IFERROR(Model!D14/Model!B14,0)</f>
        <v/>
      </c>
      <c r="F14" s="32">
        <f>SUM(Model!L5:L14)</f>
        <v/>
      </c>
      <c r="G14" s="16">
        <f>SUM(Model!C5:C14)</f>
        <v/>
      </c>
      <c r="H14" s="24">
        <f>IFERROR(F14/G14,0)</f>
        <v/>
      </c>
      <c r="I14" s="24">
        <f>IFERROR(C14*D14/E14,0)</f>
        <v/>
      </c>
      <c r="J14" s="33">
        <f>IFERROR(I14/H14,0)</f>
        <v/>
      </c>
      <c r="K14" s="33">
        <f>IFERROR(H14/(C14*D14),0)</f>
        <v/>
      </c>
    </row>
    <row r="15">
      <c r="A15" s="11">
        <f>Model!A15</f>
        <v/>
      </c>
      <c r="B15" s="13">
        <f>Model!E15</f>
        <v/>
      </c>
      <c r="C15" s="21">
        <f>Model!H15</f>
        <v/>
      </c>
      <c r="D15" s="22">
        <f>Model!K15</f>
        <v/>
      </c>
      <c r="E15" s="22">
        <f>IFERROR(Model!D15/Model!B15,0)</f>
        <v/>
      </c>
      <c r="F15" s="30">
        <f>SUM(Model!L5:L15)</f>
        <v/>
      </c>
      <c r="G15" s="13">
        <f>SUM(Model!C5:C15)</f>
        <v/>
      </c>
      <c r="H15" s="21">
        <f>IFERROR(F15/G15,0)</f>
        <v/>
      </c>
      <c r="I15" s="21">
        <f>IFERROR(C15*D15/E15,0)</f>
        <v/>
      </c>
      <c r="J15" s="31">
        <f>IFERROR(I15/H15,0)</f>
        <v/>
      </c>
      <c r="K15" s="31">
        <f>IFERROR(H15/(C15*D15),0)</f>
        <v/>
      </c>
    </row>
    <row r="16">
      <c r="A16" s="14">
        <f>Model!A16</f>
        <v/>
      </c>
      <c r="B16" s="16">
        <f>Model!E16</f>
        <v/>
      </c>
      <c r="C16" s="24">
        <f>Model!H16</f>
        <v/>
      </c>
      <c r="D16" s="25">
        <f>Model!K16</f>
        <v/>
      </c>
      <c r="E16" s="25">
        <f>IFERROR(Model!D16/Model!B16,0)</f>
        <v/>
      </c>
      <c r="F16" s="32">
        <f>SUM(Model!L5:L16)</f>
        <v/>
      </c>
      <c r="G16" s="16">
        <f>SUM(Model!C5:C16)</f>
        <v/>
      </c>
      <c r="H16" s="24">
        <f>IFERROR(F16/G16,0)</f>
        <v/>
      </c>
      <c r="I16" s="24">
        <f>IFERROR(C16*D16/E16,0)</f>
        <v/>
      </c>
      <c r="J16" s="33">
        <f>IFERROR(I16/H16,0)</f>
        <v/>
      </c>
      <c r="K16" s="33">
        <f>IFERROR(H16/(C16*D16),0)</f>
        <v/>
      </c>
    </row>
    <row r="17">
      <c r="A17" s="11">
        <f>Model!A17</f>
        <v/>
      </c>
      <c r="B17" s="13">
        <f>Model!E17</f>
        <v/>
      </c>
      <c r="C17" s="21">
        <f>Model!H17</f>
        <v/>
      </c>
      <c r="D17" s="22">
        <f>Model!K17</f>
        <v/>
      </c>
      <c r="E17" s="22">
        <f>IFERROR(Model!D17/Model!B17,0)</f>
        <v/>
      </c>
      <c r="F17" s="30">
        <f>SUM(Model!L6:L17)</f>
        <v/>
      </c>
      <c r="G17" s="13">
        <f>SUM(Model!C6:C17)</f>
        <v/>
      </c>
      <c r="H17" s="21">
        <f>IFERROR(F17/G17,0)</f>
        <v/>
      </c>
      <c r="I17" s="21">
        <f>IFERROR(C17*D17/E17,0)</f>
        <v/>
      </c>
      <c r="J17" s="31">
        <f>IFERROR(I17/H17,0)</f>
        <v/>
      </c>
      <c r="K17" s="31">
        <f>IFERROR(H17/(C17*D17),0)</f>
        <v/>
      </c>
    </row>
    <row r="18">
      <c r="A18" s="14">
        <f>Model!A18</f>
        <v/>
      </c>
      <c r="B18" s="16">
        <f>Model!E18</f>
        <v/>
      </c>
      <c r="C18" s="24">
        <f>Model!H18</f>
        <v/>
      </c>
      <c r="D18" s="25">
        <f>Model!K18</f>
        <v/>
      </c>
      <c r="E18" s="25">
        <f>IFERROR(Model!D18/Model!B18,0)</f>
        <v/>
      </c>
      <c r="F18" s="32">
        <f>SUM(Model!L7:L18)</f>
        <v/>
      </c>
      <c r="G18" s="16">
        <f>SUM(Model!C7:C18)</f>
        <v/>
      </c>
      <c r="H18" s="24">
        <f>IFERROR(F18/G18,0)</f>
        <v/>
      </c>
      <c r="I18" s="24">
        <f>IFERROR(C18*D18/E18,0)</f>
        <v/>
      </c>
      <c r="J18" s="33">
        <f>IFERROR(I18/H18,0)</f>
        <v/>
      </c>
      <c r="K18" s="33">
        <f>IFERROR(H18/(C18*D18),0)</f>
        <v/>
      </c>
    </row>
    <row r="19">
      <c r="A19" s="11">
        <f>Model!A19</f>
        <v/>
      </c>
      <c r="B19" s="13">
        <f>Model!E19</f>
        <v/>
      </c>
      <c r="C19" s="21">
        <f>Model!H19</f>
        <v/>
      </c>
      <c r="D19" s="22">
        <f>Model!K19</f>
        <v/>
      </c>
      <c r="E19" s="22">
        <f>IFERROR(Model!D19/Model!B19,0)</f>
        <v/>
      </c>
      <c r="F19" s="30">
        <f>SUM(Model!L8:L19)</f>
        <v/>
      </c>
      <c r="G19" s="13">
        <f>SUM(Model!C8:C19)</f>
        <v/>
      </c>
      <c r="H19" s="21">
        <f>IFERROR(F19/G19,0)</f>
        <v/>
      </c>
      <c r="I19" s="21">
        <f>IFERROR(C19*D19/E19,0)</f>
        <v/>
      </c>
      <c r="J19" s="31">
        <f>IFERROR(I19/H19,0)</f>
        <v/>
      </c>
      <c r="K19" s="31">
        <f>IFERROR(H19/(C19*D19),0)</f>
        <v/>
      </c>
    </row>
    <row r="20">
      <c r="A20" s="14">
        <f>Model!A20</f>
        <v/>
      </c>
      <c r="B20" s="16">
        <f>Model!E20</f>
        <v/>
      </c>
      <c r="C20" s="24">
        <f>Model!H20</f>
        <v/>
      </c>
      <c r="D20" s="25">
        <f>Model!K20</f>
        <v/>
      </c>
      <c r="E20" s="25">
        <f>IFERROR(Model!D20/Model!B20,0)</f>
        <v/>
      </c>
      <c r="F20" s="32">
        <f>SUM(Model!L9:L20)</f>
        <v/>
      </c>
      <c r="G20" s="16">
        <f>SUM(Model!C9:C20)</f>
        <v/>
      </c>
      <c r="H20" s="24">
        <f>IFERROR(F20/G20,0)</f>
        <v/>
      </c>
      <c r="I20" s="24">
        <f>IFERROR(C20*D20/E20,0)</f>
        <v/>
      </c>
      <c r="J20" s="33">
        <f>IFERROR(I20/H20,0)</f>
        <v/>
      </c>
      <c r="K20" s="33">
        <f>IFERROR(H20/(C20*D20),0)</f>
        <v/>
      </c>
    </row>
    <row r="21">
      <c r="A21" s="11">
        <f>Model!A21</f>
        <v/>
      </c>
      <c r="B21" s="13">
        <f>Model!E21</f>
        <v/>
      </c>
      <c r="C21" s="21">
        <f>Model!H21</f>
        <v/>
      </c>
      <c r="D21" s="22">
        <f>Model!K21</f>
        <v/>
      </c>
      <c r="E21" s="22">
        <f>IFERROR(Model!D21/Model!B21,0)</f>
        <v/>
      </c>
      <c r="F21" s="30">
        <f>SUM(Model!L10:L21)</f>
        <v/>
      </c>
      <c r="G21" s="13">
        <f>SUM(Model!C10:C21)</f>
        <v/>
      </c>
      <c r="H21" s="21">
        <f>IFERROR(F21/G21,0)</f>
        <v/>
      </c>
      <c r="I21" s="21">
        <f>IFERROR(C21*D21/E21,0)</f>
        <v/>
      </c>
      <c r="J21" s="31">
        <f>IFERROR(I21/H21,0)</f>
        <v/>
      </c>
      <c r="K21" s="31">
        <f>IFERROR(H21/(C21*D21),0)</f>
        <v/>
      </c>
    </row>
    <row r="22">
      <c r="A22" s="14">
        <f>Model!A22</f>
        <v/>
      </c>
      <c r="B22" s="16">
        <f>Model!E22</f>
        <v/>
      </c>
      <c r="C22" s="24">
        <f>Model!H22</f>
        <v/>
      </c>
      <c r="D22" s="25">
        <f>Model!K22</f>
        <v/>
      </c>
      <c r="E22" s="25">
        <f>IFERROR(Model!D22/Model!B22,0)</f>
        <v/>
      </c>
      <c r="F22" s="32">
        <f>SUM(Model!L11:L22)</f>
        <v/>
      </c>
      <c r="G22" s="16">
        <f>SUM(Model!C11:C22)</f>
        <v/>
      </c>
      <c r="H22" s="24">
        <f>IFERROR(F22/G22,0)</f>
        <v/>
      </c>
      <c r="I22" s="24">
        <f>IFERROR(C22*D22/E22,0)</f>
        <v/>
      </c>
      <c r="J22" s="33">
        <f>IFERROR(I22/H22,0)</f>
        <v/>
      </c>
      <c r="K22" s="33">
        <f>IFERROR(H22/(C22*D22),0)</f>
        <v/>
      </c>
    </row>
    <row r="23">
      <c r="A23" s="11">
        <f>Model!A23</f>
        <v/>
      </c>
      <c r="B23" s="13">
        <f>Model!E23</f>
        <v/>
      </c>
      <c r="C23" s="21">
        <f>Model!H23</f>
        <v/>
      </c>
      <c r="D23" s="22">
        <f>Model!K23</f>
        <v/>
      </c>
      <c r="E23" s="22">
        <f>IFERROR(Model!D23/Model!B23,0)</f>
        <v/>
      </c>
      <c r="F23" s="30">
        <f>SUM(Model!L12:L23)</f>
        <v/>
      </c>
      <c r="G23" s="13">
        <f>SUM(Model!C12:C23)</f>
        <v/>
      </c>
      <c r="H23" s="21">
        <f>IFERROR(F23/G23,0)</f>
        <v/>
      </c>
      <c r="I23" s="21">
        <f>IFERROR(C23*D23/E23,0)</f>
        <v/>
      </c>
      <c r="J23" s="31">
        <f>IFERROR(I23/H23,0)</f>
        <v/>
      </c>
      <c r="K23" s="31">
        <f>IFERROR(H23/(C23*D23),0)</f>
        <v/>
      </c>
    </row>
    <row r="24">
      <c r="A24" s="14">
        <f>Model!A24</f>
        <v/>
      </c>
      <c r="B24" s="16">
        <f>Model!E24</f>
        <v/>
      </c>
      <c r="C24" s="24">
        <f>Model!H24</f>
        <v/>
      </c>
      <c r="D24" s="25">
        <f>Model!K24</f>
        <v/>
      </c>
      <c r="E24" s="25">
        <f>IFERROR(Model!D24/Model!B24,0)</f>
        <v/>
      </c>
      <c r="F24" s="32">
        <f>SUM(Model!L13:L24)</f>
        <v/>
      </c>
      <c r="G24" s="16">
        <f>SUM(Model!C13:C24)</f>
        <v/>
      </c>
      <c r="H24" s="24">
        <f>IFERROR(F24/G24,0)</f>
        <v/>
      </c>
      <c r="I24" s="24">
        <f>IFERROR(C24*D24/E24,0)</f>
        <v/>
      </c>
      <c r="J24" s="33">
        <f>IFERROR(I24/H24,0)</f>
        <v/>
      </c>
      <c r="K24" s="33">
        <f>IFERROR(H24/(C24*D24),0)</f>
        <v/>
      </c>
    </row>
    <row r="25">
      <c r="A25" s="11">
        <f>Model!A25</f>
        <v/>
      </c>
      <c r="B25" s="13">
        <f>Model!E25</f>
        <v/>
      </c>
      <c r="C25" s="21">
        <f>Model!H25</f>
        <v/>
      </c>
      <c r="D25" s="22">
        <f>Model!K25</f>
        <v/>
      </c>
      <c r="E25" s="22">
        <f>IFERROR(Model!D25/Model!B25,0)</f>
        <v/>
      </c>
      <c r="F25" s="30">
        <f>SUM(Model!L14:L25)</f>
        <v/>
      </c>
      <c r="G25" s="13">
        <f>SUM(Model!C14:C25)</f>
        <v/>
      </c>
      <c r="H25" s="21">
        <f>IFERROR(F25/G25,0)</f>
        <v/>
      </c>
      <c r="I25" s="21">
        <f>IFERROR(C25*D25/E25,0)</f>
        <v/>
      </c>
      <c r="J25" s="31">
        <f>IFERROR(I25/H25,0)</f>
        <v/>
      </c>
      <c r="K25" s="31">
        <f>IFERROR(H25/(C25*D25),0)</f>
        <v/>
      </c>
    </row>
    <row r="26">
      <c r="A26" s="14">
        <f>Model!A26</f>
        <v/>
      </c>
      <c r="B26" s="16">
        <f>Model!E26</f>
        <v/>
      </c>
      <c r="C26" s="24">
        <f>Model!H26</f>
        <v/>
      </c>
      <c r="D26" s="25">
        <f>Model!K26</f>
        <v/>
      </c>
      <c r="E26" s="25">
        <f>IFERROR(Model!D26/Model!B26,0)</f>
        <v/>
      </c>
      <c r="F26" s="32">
        <f>SUM(Model!L15:L26)</f>
        <v/>
      </c>
      <c r="G26" s="16">
        <f>SUM(Model!C15:C26)</f>
        <v/>
      </c>
      <c r="H26" s="24">
        <f>IFERROR(F26/G26,0)</f>
        <v/>
      </c>
      <c r="I26" s="24">
        <f>IFERROR(C26*D26/E26,0)</f>
        <v/>
      </c>
      <c r="J26" s="33">
        <f>IFERROR(I26/H26,0)</f>
        <v/>
      </c>
      <c r="K26" s="33">
        <f>IFERROR(H26/(C26*D26),0)</f>
        <v/>
      </c>
    </row>
    <row r="27">
      <c r="A27" s="11">
        <f>Model!A27</f>
        <v/>
      </c>
      <c r="B27" s="13">
        <f>Model!E27</f>
        <v/>
      </c>
      <c r="C27" s="21">
        <f>Model!H27</f>
        <v/>
      </c>
      <c r="D27" s="22">
        <f>Model!K27</f>
        <v/>
      </c>
      <c r="E27" s="22">
        <f>IFERROR(Model!D27/Model!B27,0)</f>
        <v/>
      </c>
      <c r="F27" s="30">
        <f>SUM(Model!L16:L27)</f>
        <v/>
      </c>
      <c r="G27" s="13">
        <f>SUM(Model!C16:C27)</f>
        <v/>
      </c>
      <c r="H27" s="21">
        <f>IFERROR(F27/G27,0)</f>
        <v/>
      </c>
      <c r="I27" s="21">
        <f>IFERROR(C27*D27/E27,0)</f>
        <v/>
      </c>
      <c r="J27" s="31">
        <f>IFERROR(I27/H27,0)</f>
        <v/>
      </c>
      <c r="K27" s="31">
        <f>IFERROR(H27/(C27*D27),0)</f>
        <v/>
      </c>
    </row>
    <row r="28">
      <c r="A28" s="14">
        <f>Model!A28</f>
        <v/>
      </c>
      <c r="B28" s="16">
        <f>Model!E28</f>
        <v/>
      </c>
      <c r="C28" s="24">
        <f>Model!H28</f>
        <v/>
      </c>
      <c r="D28" s="25">
        <f>Model!K28</f>
        <v/>
      </c>
      <c r="E28" s="25">
        <f>IFERROR(Model!D28/Model!B28,0)</f>
        <v/>
      </c>
      <c r="F28" s="32">
        <f>SUM(Model!L17:L28)</f>
        <v/>
      </c>
      <c r="G28" s="16">
        <f>SUM(Model!C17:C28)</f>
        <v/>
      </c>
      <c r="H28" s="24">
        <f>IFERROR(F28/G28,0)</f>
        <v/>
      </c>
      <c r="I28" s="24">
        <f>IFERROR(C28*D28/E28,0)</f>
        <v/>
      </c>
      <c r="J28" s="33">
        <f>IFERROR(I28/H28,0)</f>
        <v/>
      </c>
      <c r="K28" s="33">
        <f>IFERROR(H28/(C28*D28),0)</f>
        <v/>
      </c>
    </row>
    <row r="29">
      <c r="A29" s="11">
        <f>Model!A29</f>
        <v/>
      </c>
      <c r="B29" s="13">
        <f>Model!E29</f>
        <v/>
      </c>
      <c r="C29" s="21">
        <f>Model!H29</f>
        <v/>
      </c>
      <c r="D29" s="22">
        <f>Model!K29</f>
        <v/>
      </c>
      <c r="E29" s="22">
        <f>IFERROR(Model!D29/Model!B29,0)</f>
        <v/>
      </c>
      <c r="F29" s="30">
        <f>SUM(Model!L18:L29)</f>
        <v/>
      </c>
      <c r="G29" s="13">
        <f>SUM(Model!C18:C29)</f>
        <v/>
      </c>
      <c r="H29" s="21">
        <f>IFERROR(F29/G29,0)</f>
        <v/>
      </c>
      <c r="I29" s="21">
        <f>IFERROR(C29*D29/E29,0)</f>
        <v/>
      </c>
      <c r="J29" s="31">
        <f>IFERROR(I29/H29,0)</f>
        <v/>
      </c>
      <c r="K29" s="31">
        <f>IFERROR(H29/(C29*D29),0)</f>
        <v/>
      </c>
    </row>
    <row r="30">
      <c r="A30" s="14">
        <f>Model!A30</f>
        <v/>
      </c>
      <c r="B30" s="16">
        <f>Model!E30</f>
        <v/>
      </c>
      <c r="C30" s="24">
        <f>Model!H30</f>
        <v/>
      </c>
      <c r="D30" s="25">
        <f>Model!K30</f>
        <v/>
      </c>
      <c r="E30" s="25">
        <f>IFERROR(Model!D30/Model!B30,0)</f>
        <v/>
      </c>
      <c r="F30" s="32">
        <f>SUM(Model!L19:L30)</f>
        <v/>
      </c>
      <c r="G30" s="16">
        <f>SUM(Model!C19:C30)</f>
        <v/>
      </c>
      <c r="H30" s="24">
        <f>IFERROR(F30/G30,0)</f>
        <v/>
      </c>
      <c r="I30" s="24">
        <f>IFERROR(C30*D30/E30,0)</f>
        <v/>
      </c>
      <c r="J30" s="33">
        <f>IFERROR(I30/H30,0)</f>
        <v/>
      </c>
      <c r="K30" s="33">
        <f>IFERROR(H30/(C30*D30),0)</f>
        <v/>
      </c>
    </row>
    <row r="31">
      <c r="A31" s="11">
        <f>Model!A31</f>
        <v/>
      </c>
      <c r="B31" s="13">
        <f>Model!E31</f>
        <v/>
      </c>
      <c r="C31" s="21">
        <f>Model!H31</f>
        <v/>
      </c>
      <c r="D31" s="22">
        <f>Model!K31</f>
        <v/>
      </c>
      <c r="E31" s="22">
        <f>IFERROR(Model!D31/Model!B31,0)</f>
        <v/>
      </c>
      <c r="F31" s="30">
        <f>SUM(Model!L20:L31)</f>
        <v/>
      </c>
      <c r="G31" s="13">
        <f>SUM(Model!C20:C31)</f>
        <v/>
      </c>
      <c r="H31" s="21">
        <f>IFERROR(F31/G31,0)</f>
        <v/>
      </c>
      <c r="I31" s="21">
        <f>IFERROR(C31*D31/E31,0)</f>
        <v/>
      </c>
      <c r="J31" s="31">
        <f>IFERROR(I31/H31,0)</f>
        <v/>
      </c>
      <c r="K31" s="31">
        <f>IFERROR(H31/(C31*D31),0)</f>
        <v/>
      </c>
    </row>
    <row r="32">
      <c r="A32" s="14">
        <f>Model!A32</f>
        <v/>
      </c>
      <c r="B32" s="16">
        <f>Model!E32</f>
        <v/>
      </c>
      <c r="C32" s="24">
        <f>Model!H32</f>
        <v/>
      </c>
      <c r="D32" s="25">
        <f>Model!K32</f>
        <v/>
      </c>
      <c r="E32" s="25">
        <f>IFERROR(Model!D32/Model!B32,0)</f>
        <v/>
      </c>
      <c r="F32" s="32">
        <f>SUM(Model!L21:L32)</f>
        <v/>
      </c>
      <c r="G32" s="16">
        <f>SUM(Model!C21:C32)</f>
        <v/>
      </c>
      <c r="H32" s="24">
        <f>IFERROR(F32/G32,0)</f>
        <v/>
      </c>
      <c r="I32" s="24">
        <f>IFERROR(C32*D32/E32,0)</f>
        <v/>
      </c>
      <c r="J32" s="33">
        <f>IFERROR(I32/H32,0)</f>
        <v/>
      </c>
      <c r="K32" s="33">
        <f>IFERROR(H32/(C32*D32),0)</f>
        <v/>
      </c>
    </row>
    <row r="33">
      <c r="A33" s="11">
        <f>Model!A33</f>
        <v/>
      </c>
      <c r="B33" s="13">
        <f>Model!E33</f>
        <v/>
      </c>
      <c r="C33" s="21">
        <f>Model!H33</f>
        <v/>
      </c>
      <c r="D33" s="22">
        <f>Model!K33</f>
        <v/>
      </c>
      <c r="E33" s="22">
        <f>IFERROR(Model!D33/Model!B33,0)</f>
        <v/>
      </c>
      <c r="F33" s="30">
        <f>SUM(Model!L22:L33)</f>
        <v/>
      </c>
      <c r="G33" s="13">
        <f>SUM(Model!C22:C33)</f>
        <v/>
      </c>
      <c r="H33" s="21">
        <f>IFERROR(F33/G33,0)</f>
        <v/>
      </c>
      <c r="I33" s="21">
        <f>IFERROR(C33*D33/E33,0)</f>
        <v/>
      </c>
      <c r="J33" s="31">
        <f>IFERROR(I33/H33,0)</f>
        <v/>
      </c>
      <c r="K33" s="31">
        <f>IFERROR(H33/(C33*D33),0)</f>
        <v/>
      </c>
    </row>
    <row r="34">
      <c r="A34" s="14">
        <f>Model!A34</f>
        <v/>
      </c>
      <c r="B34" s="16">
        <f>Model!E34</f>
        <v/>
      </c>
      <c r="C34" s="24">
        <f>Model!H34</f>
        <v/>
      </c>
      <c r="D34" s="25">
        <f>Model!K34</f>
        <v/>
      </c>
      <c r="E34" s="25">
        <f>IFERROR(Model!D34/Model!B34,0)</f>
        <v/>
      </c>
      <c r="F34" s="32">
        <f>SUM(Model!L23:L34)</f>
        <v/>
      </c>
      <c r="G34" s="16">
        <f>SUM(Model!C23:C34)</f>
        <v/>
      </c>
      <c r="H34" s="24">
        <f>IFERROR(F34/G34,0)</f>
        <v/>
      </c>
      <c r="I34" s="24">
        <f>IFERROR(C34*D34/E34,0)</f>
        <v/>
      </c>
      <c r="J34" s="33">
        <f>IFERROR(I34/H34,0)</f>
        <v/>
      </c>
      <c r="K34" s="33">
        <f>IFERROR(H34/(C34*D34),0)</f>
        <v/>
      </c>
    </row>
    <row r="35">
      <c r="A35" s="11">
        <f>Model!A35</f>
        <v/>
      </c>
      <c r="B35" s="13">
        <f>Model!E35</f>
        <v/>
      </c>
      <c r="C35" s="21">
        <f>Model!H35</f>
        <v/>
      </c>
      <c r="D35" s="22">
        <f>Model!K35</f>
        <v/>
      </c>
      <c r="E35" s="22">
        <f>IFERROR(Model!D35/Model!B35,0)</f>
        <v/>
      </c>
      <c r="F35" s="30">
        <f>SUM(Model!L24:L35)</f>
        <v/>
      </c>
      <c r="G35" s="13">
        <f>SUM(Model!C24:C35)</f>
        <v/>
      </c>
      <c r="H35" s="21">
        <f>IFERROR(F35/G35,0)</f>
        <v/>
      </c>
      <c r="I35" s="21">
        <f>IFERROR(C35*D35/E35,0)</f>
        <v/>
      </c>
      <c r="J35" s="31">
        <f>IFERROR(I35/H35,0)</f>
        <v/>
      </c>
      <c r="K35" s="31">
        <f>IFERROR(H35/(C35*D35),0)</f>
        <v/>
      </c>
    </row>
    <row r="36">
      <c r="A36" s="14">
        <f>Model!A36</f>
        <v/>
      </c>
      <c r="B36" s="16">
        <f>Model!E36</f>
        <v/>
      </c>
      <c r="C36" s="24">
        <f>Model!H36</f>
        <v/>
      </c>
      <c r="D36" s="25">
        <f>Model!K36</f>
        <v/>
      </c>
      <c r="E36" s="25">
        <f>IFERROR(Model!D36/Model!B36,0)</f>
        <v/>
      </c>
      <c r="F36" s="32">
        <f>SUM(Model!L25:L36)</f>
        <v/>
      </c>
      <c r="G36" s="16">
        <f>SUM(Model!C25:C36)</f>
        <v/>
      </c>
      <c r="H36" s="24">
        <f>IFERROR(F36/G36,0)</f>
        <v/>
      </c>
      <c r="I36" s="24">
        <f>IFERROR(C36*D36/E36,0)</f>
        <v/>
      </c>
      <c r="J36" s="33">
        <f>IFERROR(I36/H36,0)</f>
        <v/>
      </c>
      <c r="K36" s="33">
        <f>IFERROR(H36/(C36*D36),0)</f>
        <v/>
      </c>
    </row>
    <row r="37">
      <c r="A37" s="11">
        <f>Model!A37</f>
        <v/>
      </c>
      <c r="B37" s="13">
        <f>Model!E37</f>
        <v/>
      </c>
      <c r="C37" s="21">
        <f>Model!H37</f>
        <v/>
      </c>
      <c r="D37" s="22">
        <f>Model!K37</f>
        <v/>
      </c>
      <c r="E37" s="22">
        <f>IFERROR(Model!D37/Model!B37,0)</f>
        <v/>
      </c>
      <c r="F37" s="30">
        <f>SUM(Model!L26:L37)</f>
        <v/>
      </c>
      <c r="G37" s="13">
        <f>SUM(Model!C26:C37)</f>
        <v/>
      </c>
      <c r="H37" s="21">
        <f>IFERROR(F37/G37,0)</f>
        <v/>
      </c>
      <c r="I37" s="21">
        <f>IFERROR(C37*D37/E37,0)</f>
        <v/>
      </c>
      <c r="J37" s="31">
        <f>IFERROR(I37/H37,0)</f>
        <v/>
      </c>
      <c r="K37" s="31">
        <f>IFERROR(H37/(C37*D37),0)</f>
        <v/>
      </c>
    </row>
    <row r="38">
      <c r="A38" s="14">
        <f>Model!A38</f>
        <v/>
      </c>
      <c r="B38" s="16">
        <f>Model!E38</f>
        <v/>
      </c>
      <c r="C38" s="24">
        <f>Model!H38</f>
        <v/>
      </c>
      <c r="D38" s="25">
        <f>Model!K38</f>
        <v/>
      </c>
      <c r="E38" s="25">
        <f>IFERROR(Model!D38/Model!B38,0)</f>
        <v/>
      </c>
      <c r="F38" s="32">
        <f>SUM(Model!L27:L38)</f>
        <v/>
      </c>
      <c r="G38" s="16">
        <f>SUM(Model!C27:C38)</f>
        <v/>
      </c>
      <c r="H38" s="24">
        <f>IFERROR(F38/G38,0)</f>
        <v/>
      </c>
      <c r="I38" s="24">
        <f>IFERROR(C38*D38/E38,0)</f>
        <v/>
      </c>
      <c r="J38" s="33">
        <f>IFERROR(I38/H38,0)</f>
        <v/>
      </c>
      <c r="K38" s="33">
        <f>IFERROR(H38/(C38*D38),0)</f>
        <v/>
      </c>
    </row>
    <row r="39">
      <c r="A39" s="11">
        <f>Model!A39</f>
        <v/>
      </c>
      <c r="B39" s="13">
        <f>Model!E39</f>
        <v/>
      </c>
      <c r="C39" s="21">
        <f>Model!H39</f>
        <v/>
      </c>
      <c r="D39" s="22">
        <f>Model!K39</f>
        <v/>
      </c>
      <c r="E39" s="22">
        <f>IFERROR(Model!D39/Model!B39,0)</f>
        <v/>
      </c>
      <c r="F39" s="30">
        <f>SUM(Model!L28:L39)</f>
        <v/>
      </c>
      <c r="G39" s="13">
        <f>SUM(Model!C28:C39)</f>
        <v/>
      </c>
      <c r="H39" s="21">
        <f>IFERROR(F39/G39,0)</f>
        <v/>
      </c>
      <c r="I39" s="21">
        <f>IFERROR(C39*D39/E39,0)</f>
        <v/>
      </c>
      <c r="J39" s="31">
        <f>IFERROR(I39/H39,0)</f>
        <v/>
      </c>
      <c r="K39" s="31">
        <f>IFERROR(H39/(C39*D39),0)</f>
        <v/>
      </c>
    </row>
    <row r="40">
      <c r="A40" s="14">
        <f>Model!A40</f>
        <v/>
      </c>
      <c r="B40" s="16">
        <f>Model!E40</f>
        <v/>
      </c>
      <c r="C40" s="24">
        <f>Model!H40</f>
        <v/>
      </c>
      <c r="D40" s="25">
        <f>Model!K40</f>
        <v/>
      </c>
      <c r="E40" s="25">
        <f>IFERROR(Model!D40/Model!B40,0)</f>
        <v/>
      </c>
      <c r="F40" s="32">
        <f>SUM(Model!L29:L40)</f>
        <v/>
      </c>
      <c r="G40" s="16">
        <f>SUM(Model!C29:C40)</f>
        <v/>
      </c>
      <c r="H40" s="24">
        <f>IFERROR(F40/G40,0)</f>
        <v/>
      </c>
      <c r="I40" s="24">
        <f>IFERROR(C40*D40/E40,0)</f>
        <v/>
      </c>
      <c r="J40" s="33">
        <f>IFERROR(I40/H40,0)</f>
        <v/>
      </c>
      <c r="K40" s="33">
        <f>IFERROR(H40/(C40*D40),0)</f>
        <v/>
      </c>
    </row>
    <row r="43">
      <c r="A43" s="3" t="inlineStr">
        <is>
          <t>Quarter-end summary (trailing-12-month unit economics)</t>
        </is>
      </c>
    </row>
    <row r="44">
      <c r="A44" s="19" t="inlineStr">
        <is>
          <t>month</t>
        </is>
      </c>
      <c r="B44" s="19" t="inlineStr">
        <is>
          <t>customers_end</t>
        </is>
      </c>
      <c r="C44" s="19" t="inlineStr">
        <is>
          <t>arpa</t>
        </is>
      </c>
      <c r="D44" s="19" t="inlineStr">
        <is>
          <t>gross_margin</t>
        </is>
      </c>
      <c r="E44" s="19" t="inlineStr">
        <is>
          <t>monthly_churn</t>
        </is>
      </c>
      <c r="F44" s="19" t="inlineStr">
        <is>
          <t>cac</t>
        </is>
      </c>
      <c r="G44" s="19" t="inlineStr">
        <is>
          <t>ltv</t>
        </is>
      </c>
      <c r="H44" s="19" t="inlineStr">
        <is>
          <t>ltv_cac</t>
        </is>
      </c>
      <c r="I44" s="19" t="inlineStr">
        <is>
          <t>payback_m</t>
        </is>
      </c>
    </row>
    <row r="45">
      <c r="A45" s="30">
        <f>A7</f>
        <v/>
      </c>
      <c r="B45" s="13">
        <f>B7</f>
        <v/>
      </c>
      <c r="C45" s="21">
        <f>C7</f>
        <v/>
      </c>
      <c r="D45" s="22">
        <f>D7</f>
        <v/>
      </c>
      <c r="E45" s="22">
        <f>E7</f>
        <v/>
      </c>
      <c r="F45" s="21">
        <f>H7</f>
        <v/>
      </c>
      <c r="G45" s="21">
        <f>I7</f>
        <v/>
      </c>
      <c r="H45" s="31">
        <f>J7</f>
        <v/>
      </c>
      <c r="I45" s="31">
        <f>K7</f>
        <v/>
      </c>
    </row>
    <row r="46">
      <c r="A46" s="32">
        <f>A10</f>
        <v/>
      </c>
      <c r="B46" s="16">
        <f>B10</f>
        <v/>
      </c>
      <c r="C46" s="24">
        <f>C10</f>
        <v/>
      </c>
      <c r="D46" s="25">
        <f>D10</f>
        <v/>
      </c>
      <c r="E46" s="25">
        <f>E10</f>
        <v/>
      </c>
      <c r="F46" s="24">
        <f>H10</f>
        <v/>
      </c>
      <c r="G46" s="24">
        <f>I10</f>
        <v/>
      </c>
      <c r="H46" s="33">
        <f>J10</f>
        <v/>
      </c>
      <c r="I46" s="33">
        <f>K10</f>
        <v/>
      </c>
    </row>
    <row r="47">
      <c r="A47" s="30">
        <f>A13</f>
        <v/>
      </c>
      <c r="B47" s="13">
        <f>B13</f>
        <v/>
      </c>
      <c r="C47" s="21">
        <f>C13</f>
        <v/>
      </c>
      <c r="D47" s="22">
        <f>D13</f>
        <v/>
      </c>
      <c r="E47" s="22">
        <f>E13</f>
        <v/>
      </c>
      <c r="F47" s="21">
        <f>H13</f>
        <v/>
      </c>
      <c r="G47" s="21">
        <f>I13</f>
        <v/>
      </c>
      <c r="H47" s="31">
        <f>J13</f>
        <v/>
      </c>
      <c r="I47" s="31">
        <f>K13</f>
        <v/>
      </c>
    </row>
    <row r="48">
      <c r="A48" s="32">
        <f>A16</f>
        <v/>
      </c>
      <c r="B48" s="16">
        <f>B16</f>
        <v/>
      </c>
      <c r="C48" s="24">
        <f>C16</f>
        <v/>
      </c>
      <c r="D48" s="25">
        <f>D16</f>
        <v/>
      </c>
      <c r="E48" s="25">
        <f>E16</f>
        <v/>
      </c>
      <c r="F48" s="24">
        <f>H16</f>
        <v/>
      </c>
      <c r="G48" s="24">
        <f>I16</f>
        <v/>
      </c>
      <c r="H48" s="33">
        <f>J16</f>
        <v/>
      </c>
      <c r="I48" s="33">
        <f>K16</f>
        <v/>
      </c>
    </row>
    <row r="49">
      <c r="A49" s="30">
        <f>A19</f>
        <v/>
      </c>
      <c r="B49" s="13">
        <f>B19</f>
        <v/>
      </c>
      <c r="C49" s="21">
        <f>C19</f>
        <v/>
      </c>
      <c r="D49" s="22">
        <f>D19</f>
        <v/>
      </c>
      <c r="E49" s="22">
        <f>E19</f>
        <v/>
      </c>
      <c r="F49" s="21">
        <f>H19</f>
        <v/>
      </c>
      <c r="G49" s="21">
        <f>I19</f>
        <v/>
      </c>
      <c r="H49" s="31">
        <f>J19</f>
        <v/>
      </c>
      <c r="I49" s="31">
        <f>K19</f>
        <v/>
      </c>
    </row>
    <row r="50">
      <c r="A50" s="32">
        <f>A22</f>
        <v/>
      </c>
      <c r="B50" s="16">
        <f>B22</f>
        <v/>
      </c>
      <c r="C50" s="24">
        <f>C22</f>
        <v/>
      </c>
      <c r="D50" s="25">
        <f>D22</f>
        <v/>
      </c>
      <c r="E50" s="25">
        <f>E22</f>
        <v/>
      </c>
      <c r="F50" s="24">
        <f>H22</f>
        <v/>
      </c>
      <c r="G50" s="24">
        <f>I22</f>
        <v/>
      </c>
      <c r="H50" s="33">
        <f>J22</f>
        <v/>
      </c>
      <c r="I50" s="33">
        <f>K22</f>
        <v/>
      </c>
    </row>
    <row r="51">
      <c r="A51" s="30">
        <f>A25</f>
        <v/>
      </c>
      <c r="B51" s="13">
        <f>B25</f>
        <v/>
      </c>
      <c r="C51" s="21">
        <f>C25</f>
        <v/>
      </c>
      <c r="D51" s="22">
        <f>D25</f>
        <v/>
      </c>
      <c r="E51" s="22">
        <f>E25</f>
        <v/>
      </c>
      <c r="F51" s="21">
        <f>H25</f>
        <v/>
      </c>
      <c r="G51" s="21">
        <f>I25</f>
        <v/>
      </c>
      <c r="H51" s="31">
        <f>J25</f>
        <v/>
      </c>
      <c r="I51" s="31">
        <f>K25</f>
        <v/>
      </c>
    </row>
    <row r="52">
      <c r="A52" s="32">
        <f>A28</f>
        <v/>
      </c>
      <c r="B52" s="16">
        <f>B28</f>
        <v/>
      </c>
      <c r="C52" s="24">
        <f>C28</f>
        <v/>
      </c>
      <c r="D52" s="25">
        <f>D28</f>
        <v/>
      </c>
      <c r="E52" s="25">
        <f>E28</f>
        <v/>
      </c>
      <c r="F52" s="24">
        <f>H28</f>
        <v/>
      </c>
      <c r="G52" s="24">
        <f>I28</f>
        <v/>
      </c>
      <c r="H52" s="33">
        <f>J28</f>
        <v/>
      </c>
      <c r="I52" s="33">
        <f>K28</f>
        <v/>
      </c>
    </row>
    <row r="53">
      <c r="A53" s="30">
        <f>A31</f>
        <v/>
      </c>
      <c r="B53" s="13">
        <f>B31</f>
        <v/>
      </c>
      <c r="C53" s="21">
        <f>C31</f>
        <v/>
      </c>
      <c r="D53" s="22">
        <f>D31</f>
        <v/>
      </c>
      <c r="E53" s="22">
        <f>E31</f>
        <v/>
      </c>
      <c r="F53" s="21">
        <f>H31</f>
        <v/>
      </c>
      <c r="G53" s="21">
        <f>I31</f>
        <v/>
      </c>
      <c r="H53" s="31">
        <f>J31</f>
        <v/>
      </c>
      <c r="I53" s="31">
        <f>K31</f>
        <v/>
      </c>
    </row>
    <row r="54">
      <c r="A54" s="32">
        <f>A34</f>
        <v/>
      </c>
      <c r="B54" s="16">
        <f>B34</f>
        <v/>
      </c>
      <c r="C54" s="24">
        <f>C34</f>
        <v/>
      </c>
      <c r="D54" s="25">
        <f>D34</f>
        <v/>
      </c>
      <c r="E54" s="25">
        <f>E34</f>
        <v/>
      </c>
      <c r="F54" s="24">
        <f>H34</f>
        <v/>
      </c>
      <c r="G54" s="24">
        <f>I34</f>
        <v/>
      </c>
      <c r="H54" s="33">
        <f>J34</f>
        <v/>
      </c>
      <c r="I54" s="33">
        <f>K34</f>
        <v/>
      </c>
    </row>
    <row r="55">
      <c r="A55" s="30">
        <f>A37</f>
        <v/>
      </c>
      <c r="B55" s="13">
        <f>B37</f>
        <v/>
      </c>
      <c r="C55" s="21">
        <f>C37</f>
        <v/>
      </c>
      <c r="D55" s="22">
        <f>D37</f>
        <v/>
      </c>
      <c r="E55" s="22">
        <f>E37</f>
        <v/>
      </c>
      <c r="F55" s="21">
        <f>H37</f>
        <v/>
      </c>
      <c r="G55" s="21">
        <f>I37</f>
        <v/>
      </c>
      <c r="H55" s="31">
        <f>J37</f>
        <v/>
      </c>
      <c r="I55" s="31">
        <f>K37</f>
        <v/>
      </c>
    </row>
    <row r="56">
      <c r="A56" s="32">
        <f>A40</f>
        <v/>
      </c>
      <c r="B56" s="16">
        <f>B40</f>
        <v/>
      </c>
      <c r="C56" s="24">
        <f>C40</f>
        <v/>
      </c>
      <c r="D56" s="25">
        <f>D40</f>
        <v/>
      </c>
      <c r="E56" s="25">
        <f>E40</f>
        <v/>
      </c>
      <c r="F56" s="24">
        <f>H40</f>
        <v/>
      </c>
      <c r="G56" s="24">
        <f>I40</f>
        <v/>
      </c>
      <c r="H56" s="33">
        <f>J40</f>
        <v/>
      </c>
      <c r="I56" s="33">
        <f>K40</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6" customWidth="1" min="3" max="3"/>
    <col width="16" customWidth="1" min="4" max="4"/>
    <col width="16" customWidth="1" min="5" max="5"/>
    <col width="16" customWidth="1" min="6" max="6"/>
  </cols>
  <sheetData>
    <row r="1">
      <c r="A1" s="9" t="inlineStr">
        <is>
          <t>Rule of 40 — growth + margin, trailing 12-month</t>
        </is>
      </c>
    </row>
    <row r="2">
      <c r="A2" s="8" t="inlineStr">
        <is>
          <t>Growth = TTM MRR ÷ prior-TTM MRR − 1 · Margin = TTM contribution margin · Score = growth% + margin%</t>
        </is>
      </c>
    </row>
    <row r="4" ht="28" customHeight="1">
      <c r="A4" s="19" t="inlineStr">
        <is>
          <t>month</t>
        </is>
      </c>
      <c r="B4" s="19" t="inlineStr">
        <is>
          <t>ttm_mrr</t>
        </is>
      </c>
      <c r="C4" s="19" t="inlineStr">
        <is>
          <t>prior_ttm_mrr</t>
        </is>
      </c>
      <c r="D4" s="19" t="inlineStr">
        <is>
          <t>growth_yoy</t>
        </is>
      </c>
      <c r="E4" s="19" t="inlineStr">
        <is>
          <t>ttm_contrib_margin</t>
        </is>
      </c>
      <c r="F4" s="19" t="inlineStr">
        <is>
          <t>rule_of_40</t>
        </is>
      </c>
    </row>
    <row r="5">
      <c r="A5" s="11">
        <f>Model!A5</f>
        <v/>
      </c>
      <c r="B5" s="20">
        <f>SUM(Model!G5:G5)</f>
        <v/>
      </c>
      <c r="C5" s="20">
        <f>0</f>
        <v/>
      </c>
      <c r="D5" s="22">
        <f>0</f>
        <v/>
      </c>
      <c r="E5" s="22">
        <f>IFERROR(SUM(Model!N-6:N5)/SUM(Model!G-6:G5),0)</f>
        <v/>
      </c>
      <c r="F5" s="22">
        <f>D5+E5</f>
        <v/>
      </c>
    </row>
    <row r="6">
      <c r="A6" s="14">
        <f>Model!A6</f>
        <v/>
      </c>
      <c r="B6" s="23">
        <f>SUM(Model!G5:G6)</f>
        <v/>
      </c>
      <c r="C6" s="23">
        <f>0</f>
        <v/>
      </c>
      <c r="D6" s="25">
        <f>0</f>
        <v/>
      </c>
      <c r="E6" s="25">
        <f>IFERROR(SUM(Model!N-5:N6)/SUM(Model!G-5:G6),0)</f>
        <v/>
      </c>
      <c r="F6" s="25">
        <f>D6+E6</f>
        <v/>
      </c>
    </row>
    <row r="7">
      <c r="A7" s="11">
        <f>Model!A7</f>
        <v/>
      </c>
      <c r="B7" s="20">
        <f>SUM(Model!G5:G7)</f>
        <v/>
      </c>
      <c r="C7" s="20">
        <f>0</f>
        <v/>
      </c>
      <c r="D7" s="22">
        <f>0</f>
        <v/>
      </c>
      <c r="E7" s="22">
        <f>IFERROR(SUM(Model!N-4:N7)/SUM(Model!G-4:G7),0)</f>
        <v/>
      </c>
      <c r="F7" s="22">
        <f>D7+E7</f>
        <v/>
      </c>
    </row>
    <row r="8">
      <c r="A8" s="14">
        <f>Model!A8</f>
        <v/>
      </c>
      <c r="B8" s="23">
        <f>SUM(Model!G5:G8)</f>
        <v/>
      </c>
      <c r="C8" s="23">
        <f>0</f>
        <v/>
      </c>
      <c r="D8" s="25">
        <f>0</f>
        <v/>
      </c>
      <c r="E8" s="25">
        <f>IFERROR(SUM(Model!N-3:N8)/SUM(Model!G-3:G8),0)</f>
        <v/>
      </c>
      <c r="F8" s="25">
        <f>D8+E8</f>
        <v/>
      </c>
    </row>
    <row r="9">
      <c r="A9" s="11">
        <f>Model!A9</f>
        <v/>
      </c>
      <c r="B9" s="20">
        <f>SUM(Model!G5:G9)</f>
        <v/>
      </c>
      <c r="C9" s="20">
        <f>0</f>
        <v/>
      </c>
      <c r="D9" s="22">
        <f>0</f>
        <v/>
      </c>
      <c r="E9" s="22">
        <f>IFERROR(SUM(Model!N-2:N9)/SUM(Model!G-2:G9),0)</f>
        <v/>
      </c>
      <c r="F9" s="22">
        <f>D9+E9</f>
        <v/>
      </c>
    </row>
    <row r="10">
      <c r="A10" s="14">
        <f>Model!A10</f>
        <v/>
      </c>
      <c r="B10" s="23">
        <f>SUM(Model!G5:G10)</f>
        <v/>
      </c>
      <c r="C10" s="23">
        <f>0</f>
        <v/>
      </c>
      <c r="D10" s="25">
        <f>0</f>
        <v/>
      </c>
      <c r="E10" s="25">
        <f>IFERROR(SUM(Model!N-1:N10)/SUM(Model!G-1:G10),0)</f>
        <v/>
      </c>
      <c r="F10" s="25">
        <f>D10+E10</f>
        <v/>
      </c>
    </row>
    <row r="11">
      <c r="A11" s="11">
        <f>Model!A11</f>
        <v/>
      </c>
      <c r="B11" s="20">
        <f>SUM(Model!G5:G11)</f>
        <v/>
      </c>
      <c r="C11" s="20">
        <f>0</f>
        <v/>
      </c>
      <c r="D11" s="22">
        <f>0</f>
        <v/>
      </c>
      <c r="E11" s="22">
        <f>IFERROR(SUM(Model!N0:N11)/SUM(Model!G0:G11),0)</f>
        <v/>
      </c>
      <c r="F11" s="22">
        <f>D11+E11</f>
        <v/>
      </c>
    </row>
    <row r="12">
      <c r="A12" s="14">
        <f>Model!A12</f>
        <v/>
      </c>
      <c r="B12" s="23">
        <f>SUM(Model!G5:G12)</f>
        <v/>
      </c>
      <c r="C12" s="23">
        <f>0</f>
        <v/>
      </c>
      <c r="D12" s="25">
        <f>0</f>
        <v/>
      </c>
      <c r="E12" s="25">
        <f>IFERROR(SUM(Model!N1:N12)/SUM(Model!G1:G12),0)</f>
        <v/>
      </c>
      <c r="F12" s="25">
        <f>D12+E12</f>
        <v/>
      </c>
    </row>
    <row r="13">
      <c r="A13" s="11">
        <f>Model!A13</f>
        <v/>
      </c>
      <c r="B13" s="20">
        <f>SUM(Model!G5:G13)</f>
        <v/>
      </c>
      <c r="C13" s="20">
        <f>0</f>
        <v/>
      </c>
      <c r="D13" s="22">
        <f>0</f>
        <v/>
      </c>
      <c r="E13" s="22">
        <f>IFERROR(SUM(Model!N2:N13)/SUM(Model!G2:G13),0)</f>
        <v/>
      </c>
      <c r="F13" s="22">
        <f>D13+E13</f>
        <v/>
      </c>
    </row>
    <row r="14">
      <c r="A14" s="14">
        <f>Model!A14</f>
        <v/>
      </c>
      <c r="B14" s="23">
        <f>SUM(Model!G5:G14)</f>
        <v/>
      </c>
      <c r="C14" s="23">
        <f>0</f>
        <v/>
      </c>
      <c r="D14" s="25">
        <f>0</f>
        <v/>
      </c>
      <c r="E14" s="25">
        <f>IFERROR(SUM(Model!N3:N14)/SUM(Model!G3:G14),0)</f>
        <v/>
      </c>
      <c r="F14" s="25">
        <f>D14+E14</f>
        <v/>
      </c>
    </row>
    <row r="15">
      <c r="A15" s="11">
        <f>Model!A15</f>
        <v/>
      </c>
      <c r="B15" s="20">
        <f>SUM(Model!G5:G15)</f>
        <v/>
      </c>
      <c r="C15" s="20">
        <f>0</f>
        <v/>
      </c>
      <c r="D15" s="22">
        <f>0</f>
        <v/>
      </c>
      <c r="E15" s="22">
        <f>IFERROR(SUM(Model!N4:N15)/SUM(Model!G4:G15),0)</f>
        <v/>
      </c>
      <c r="F15" s="22">
        <f>D15+E15</f>
        <v/>
      </c>
    </row>
    <row r="16">
      <c r="A16" s="14">
        <f>Model!A16</f>
        <v/>
      </c>
      <c r="B16" s="23">
        <f>SUM(Model!G5:G16)</f>
        <v/>
      </c>
      <c r="C16" s="23">
        <f>SUM(Model!G-7:G4)</f>
        <v/>
      </c>
      <c r="D16" s="25">
        <f>IFERROR(B16/C16-1,0)</f>
        <v/>
      </c>
      <c r="E16" s="25">
        <f>IFERROR(SUM(Model!N5:N16)/SUM(Model!G5:G16),0)</f>
        <v/>
      </c>
      <c r="F16" s="25">
        <f>D16+E16</f>
        <v/>
      </c>
    </row>
    <row r="17">
      <c r="A17" s="11">
        <f>Model!A17</f>
        <v/>
      </c>
      <c r="B17" s="20">
        <f>SUM(Model!G6:G17)</f>
        <v/>
      </c>
      <c r="C17" s="20">
        <f>SUM(Model!G-6:G5)</f>
        <v/>
      </c>
      <c r="D17" s="22">
        <f>IFERROR(B17/C17-1,0)</f>
        <v/>
      </c>
      <c r="E17" s="22">
        <f>IFERROR(SUM(Model!N6:N17)/SUM(Model!G6:G17),0)</f>
        <v/>
      </c>
      <c r="F17" s="22">
        <f>D17+E17</f>
        <v/>
      </c>
    </row>
    <row r="18">
      <c r="A18" s="14">
        <f>Model!A18</f>
        <v/>
      </c>
      <c r="B18" s="23">
        <f>SUM(Model!G7:G18)</f>
        <v/>
      </c>
      <c r="C18" s="23">
        <f>SUM(Model!G-5:G6)</f>
        <v/>
      </c>
      <c r="D18" s="25">
        <f>IFERROR(B18/C18-1,0)</f>
        <v/>
      </c>
      <c r="E18" s="25">
        <f>IFERROR(SUM(Model!N7:N18)/SUM(Model!G7:G18),0)</f>
        <v/>
      </c>
      <c r="F18" s="25">
        <f>D18+E18</f>
        <v/>
      </c>
    </row>
    <row r="19">
      <c r="A19" s="11">
        <f>Model!A19</f>
        <v/>
      </c>
      <c r="B19" s="20">
        <f>SUM(Model!G8:G19)</f>
        <v/>
      </c>
      <c r="C19" s="20">
        <f>SUM(Model!G-4:G7)</f>
        <v/>
      </c>
      <c r="D19" s="22">
        <f>IFERROR(B19/C19-1,0)</f>
        <v/>
      </c>
      <c r="E19" s="22">
        <f>IFERROR(SUM(Model!N8:N19)/SUM(Model!G8:G19),0)</f>
        <v/>
      </c>
      <c r="F19" s="22">
        <f>D19+E19</f>
        <v/>
      </c>
    </row>
    <row r="20">
      <c r="A20" s="14">
        <f>Model!A20</f>
        <v/>
      </c>
      <c r="B20" s="23">
        <f>SUM(Model!G9:G20)</f>
        <v/>
      </c>
      <c r="C20" s="23">
        <f>SUM(Model!G-3:G8)</f>
        <v/>
      </c>
      <c r="D20" s="25">
        <f>IFERROR(B20/C20-1,0)</f>
        <v/>
      </c>
      <c r="E20" s="25">
        <f>IFERROR(SUM(Model!N9:N20)/SUM(Model!G9:G20),0)</f>
        <v/>
      </c>
      <c r="F20" s="25">
        <f>D20+E20</f>
        <v/>
      </c>
    </row>
    <row r="21">
      <c r="A21" s="11">
        <f>Model!A21</f>
        <v/>
      </c>
      <c r="B21" s="20">
        <f>SUM(Model!G10:G21)</f>
        <v/>
      </c>
      <c r="C21" s="20">
        <f>SUM(Model!G-2:G9)</f>
        <v/>
      </c>
      <c r="D21" s="22">
        <f>IFERROR(B21/C21-1,0)</f>
        <v/>
      </c>
      <c r="E21" s="22">
        <f>IFERROR(SUM(Model!N10:N21)/SUM(Model!G10:G21),0)</f>
        <v/>
      </c>
      <c r="F21" s="22">
        <f>D21+E21</f>
        <v/>
      </c>
    </row>
    <row r="22">
      <c r="A22" s="14">
        <f>Model!A22</f>
        <v/>
      </c>
      <c r="B22" s="23">
        <f>SUM(Model!G11:G22)</f>
        <v/>
      </c>
      <c r="C22" s="23">
        <f>SUM(Model!G-1:G10)</f>
        <v/>
      </c>
      <c r="D22" s="25">
        <f>IFERROR(B22/C22-1,0)</f>
        <v/>
      </c>
      <c r="E22" s="25">
        <f>IFERROR(SUM(Model!N11:N22)/SUM(Model!G11:G22),0)</f>
        <v/>
      </c>
      <c r="F22" s="25">
        <f>D22+E22</f>
        <v/>
      </c>
    </row>
    <row r="23">
      <c r="A23" s="11">
        <f>Model!A23</f>
        <v/>
      </c>
      <c r="B23" s="20">
        <f>SUM(Model!G12:G23)</f>
        <v/>
      </c>
      <c r="C23" s="20">
        <f>SUM(Model!G0:G11)</f>
        <v/>
      </c>
      <c r="D23" s="22">
        <f>IFERROR(B23/C23-1,0)</f>
        <v/>
      </c>
      <c r="E23" s="22">
        <f>IFERROR(SUM(Model!N12:N23)/SUM(Model!G12:G23),0)</f>
        <v/>
      </c>
      <c r="F23" s="22">
        <f>D23+E23</f>
        <v/>
      </c>
    </row>
    <row r="24">
      <c r="A24" s="14">
        <f>Model!A24</f>
        <v/>
      </c>
      <c r="B24" s="23">
        <f>SUM(Model!G13:G24)</f>
        <v/>
      </c>
      <c r="C24" s="23">
        <f>SUM(Model!G1:G12)</f>
        <v/>
      </c>
      <c r="D24" s="25">
        <f>IFERROR(B24/C24-1,0)</f>
        <v/>
      </c>
      <c r="E24" s="25">
        <f>IFERROR(SUM(Model!N13:N24)/SUM(Model!G13:G24),0)</f>
        <v/>
      </c>
      <c r="F24" s="25">
        <f>D24+E24</f>
        <v/>
      </c>
    </row>
    <row r="25">
      <c r="A25" s="11">
        <f>Model!A25</f>
        <v/>
      </c>
      <c r="B25" s="20">
        <f>SUM(Model!G14:G25)</f>
        <v/>
      </c>
      <c r="C25" s="20">
        <f>SUM(Model!G2:G13)</f>
        <v/>
      </c>
      <c r="D25" s="22">
        <f>IFERROR(B25/C25-1,0)</f>
        <v/>
      </c>
      <c r="E25" s="22">
        <f>IFERROR(SUM(Model!N14:N25)/SUM(Model!G14:G25),0)</f>
        <v/>
      </c>
      <c r="F25" s="22">
        <f>D25+E25</f>
        <v/>
      </c>
    </row>
    <row r="26">
      <c r="A26" s="14">
        <f>Model!A26</f>
        <v/>
      </c>
      <c r="B26" s="23">
        <f>SUM(Model!G15:G26)</f>
        <v/>
      </c>
      <c r="C26" s="23">
        <f>SUM(Model!G3:G14)</f>
        <v/>
      </c>
      <c r="D26" s="25">
        <f>IFERROR(B26/C26-1,0)</f>
        <v/>
      </c>
      <c r="E26" s="25">
        <f>IFERROR(SUM(Model!N15:N26)/SUM(Model!G15:G26),0)</f>
        <v/>
      </c>
      <c r="F26" s="25">
        <f>D26+E26</f>
        <v/>
      </c>
    </row>
    <row r="27">
      <c r="A27" s="11">
        <f>Model!A27</f>
        <v/>
      </c>
      <c r="B27" s="20">
        <f>SUM(Model!G16:G27)</f>
        <v/>
      </c>
      <c r="C27" s="20">
        <f>SUM(Model!G4:G15)</f>
        <v/>
      </c>
      <c r="D27" s="22">
        <f>IFERROR(B27/C27-1,0)</f>
        <v/>
      </c>
      <c r="E27" s="22">
        <f>IFERROR(SUM(Model!N16:N27)/SUM(Model!G16:G27),0)</f>
        <v/>
      </c>
      <c r="F27" s="22">
        <f>D27+E27</f>
        <v/>
      </c>
    </row>
    <row r="28">
      <c r="A28" s="14">
        <f>Model!A28</f>
        <v/>
      </c>
      <c r="B28" s="23">
        <f>SUM(Model!G17:G28)</f>
        <v/>
      </c>
      <c r="C28" s="23">
        <f>SUM(Model!G5:G16)</f>
        <v/>
      </c>
      <c r="D28" s="25">
        <f>IFERROR(B28/C28-1,0)</f>
        <v/>
      </c>
      <c r="E28" s="25">
        <f>IFERROR(SUM(Model!N17:N28)/SUM(Model!G17:G28),0)</f>
        <v/>
      </c>
      <c r="F28" s="25">
        <f>D28+E28</f>
        <v/>
      </c>
    </row>
    <row r="29">
      <c r="A29" s="11">
        <f>Model!A29</f>
        <v/>
      </c>
      <c r="B29" s="20">
        <f>SUM(Model!G18:G29)</f>
        <v/>
      </c>
      <c r="C29" s="20">
        <f>SUM(Model!G6:G17)</f>
        <v/>
      </c>
      <c r="D29" s="22">
        <f>IFERROR(B29/C29-1,0)</f>
        <v/>
      </c>
      <c r="E29" s="22">
        <f>IFERROR(SUM(Model!N18:N29)/SUM(Model!G18:G29),0)</f>
        <v/>
      </c>
      <c r="F29" s="22">
        <f>D29+E29</f>
        <v/>
      </c>
    </row>
    <row r="30">
      <c r="A30" s="14">
        <f>Model!A30</f>
        <v/>
      </c>
      <c r="B30" s="23">
        <f>SUM(Model!G19:G30)</f>
        <v/>
      </c>
      <c r="C30" s="23">
        <f>SUM(Model!G7:G18)</f>
        <v/>
      </c>
      <c r="D30" s="25">
        <f>IFERROR(B30/C30-1,0)</f>
        <v/>
      </c>
      <c r="E30" s="25">
        <f>IFERROR(SUM(Model!N19:N30)/SUM(Model!G19:G30),0)</f>
        <v/>
      </c>
      <c r="F30" s="25">
        <f>D30+E30</f>
        <v/>
      </c>
    </row>
    <row r="31">
      <c r="A31" s="11">
        <f>Model!A31</f>
        <v/>
      </c>
      <c r="B31" s="20">
        <f>SUM(Model!G20:G31)</f>
        <v/>
      </c>
      <c r="C31" s="20">
        <f>SUM(Model!G8:G19)</f>
        <v/>
      </c>
      <c r="D31" s="22">
        <f>IFERROR(B31/C31-1,0)</f>
        <v/>
      </c>
      <c r="E31" s="22">
        <f>IFERROR(SUM(Model!N20:N31)/SUM(Model!G20:G31),0)</f>
        <v/>
      </c>
      <c r="F31" s="22">
        <f>D31+E31</f>
        <v/>
      </c>
    </row>
    <row r="32">
      <c r="A32" s="14">
        <f>Model!A32</f>
        <v/>
      </c>
      <c r="B32" s="23">
        <f>SUM(Model!G21:G32)</f>
        <v/>
      </c>
      <c r="C32" s="23">
        <f>SUM(Model!G9:G20)</f>
        <v/>
      </c>
      <c r="D32" s="25">
        <f>IFERROR(B32/C32-1,0)</f>
        <v/>
      </c>
      <c r="E32" s="25">
        <f>IFERROR(SUM(Model!N21:N32)/SUM(Model!G21:G32),0)</f>
        <v/>
      </c>
      <c r="F32" s="25">
        <f>D32+E32</f>
        <v/>
      </c>
    </row>
    <row r="33">
      <c r="A33" s="11">
        <f>Model!A33</f>
        <v/>
      </c>
      <c r="B33" s="20">
        <f>SUM(Model!G22:G33)</f>
        <v/>
      </c>
      <c r="C33" s="20">
        <f>SUM(Model!G10:G21)</f>
        <v/>
      </c>
      <c r="D33" s="22">
        <f>IFERROR(B33/C33-1,0)</f>
        <v/>
      </c>
      <c r="E33" s="22">
        <f>IFERROR(SUM(Model!N22:N33)/SUM(Model!G22:G33),0)</f>
        <v/>
      </c>
      <c r="F33" s="22">
        <f>D33+E33</f>
        <v/>
      </c>
    </row>
    <row r="34">
      <c r="A34" s="14">
        <f>Model!A34</f>
        <v/>
      </c>
      <c r="B34" s="23">
        <f>SUM(Model!G23:G34)</f>
        <v/>
      </c>
      <c r="C34" s="23">
        <f>SUM(Model!G11:G22)</f>
        <v/>
      </c>
      <c r="D34" s="25">
        <f>IFERROR(B34/C34-1,0)</f>
        <v/>
      </c>
      <c r="E34" s="25">
        <f>IFERROR(SUM(Model!N23:N34)/SUM(Model!G23:G34),0)</f>
        <v/>
      </c>
      <c r="F34" s="25">
        <f>D34+E34</f>
        <v/>
      </c>
    </row>
    <row r="35">
      <c r="A35" s="11">
        <f>Model!A35</f>
        <v/>
      </c>
      <c r="B35" s="20">
        <f>SUM(Model!G24:G35)</f>
        <v/>
      </c>
      <c r="C35" s="20">
        <f>SUM(Model!G12:G23)</f>
        <v/>
      </c>
      <c r="D35" s="22">
        <f>IFERROR(B35/C35-1,0)</f>
        <v/>
      </c>
      <c r="E35" s="22">
        <f>IFERROR(SUM(Model!N24:N35)/SUM(Model!G24:G35),0)</f>
        <v/>
      </c>
      <c r="F35" s="22">
        <f>D35+E35</f>
        <v/>
      </c>
    </row>
    <row r="36">
      <c r="A36" s="14">
        <f>Model!A36</f>
        <v/>
      </c>
      <c r="B36" s="23">
        <f>SUM(Model!G25:G36)</f>
        <v/>
      </c>
      <c r="C36" s="23">
        <f>SUM(Model!G13:G24)</f>
        <v/>
      </c>
      <c r="D36" s="25">
        <f>IFERROR(B36/C36-1,0)</f>
        <v/>
      </c>
      <c r="E36" s="25">
        <f>IFERROR(SUM(Model!N25:N36)/SUM(Model!G25:G36),0)</f>
        <v/>
      </c>
      <c r="F36" s="25">
        <f>D36+E36</f>
        <v/>
      </c>
    </row>
    <row r="37">
      <c r="A37" s="11">
        <f>Model!A37</f>
        <v/>
      </c>
      <c r="B37" s="20">
        <f>SUM(Model!G26:G37)</f>
        <v/>
      </c>
      <c r="C37" s="20">
        <f>SUM(Model!G14:G25)</f>
        <v/>
      </c>
      <c r="D37" s="22">
        <f>IFERROR(B37/C37-1,0)</f>
        <v/>
      </c>
      <c r="E37" s="22">
        <f>IFERROR(SUM(Model!N26:N37)/SUM(Model!G26:G37),0)</f>
        <v/>
      </c>
      <c r="F37" s="22">
        <f>D37+E37</f>
        <v/>
      </c>
    </row>
    <row r="38">
      <c r="A38" s="14">
        <f>Model!A38</f>
        <v/>
      </c>
      <c r="B38" s="23">
        <f>SUM(Model!G27:G38)</f>
        <v/>
      </c>
      <c r="C38" s="23">
        <f>SUM(Model!G15:G26)</f>
        <v/>
      </c>
      <c r="D38" s="25">
        <f>IFERROR(B38/C38-1,0)</f>
        <v/>
      </c>
      <c r="E38" s="25">
        <f>IFERROR(SUM(Model!N27:N38)/SUM(Model!G27:G38),0)</f>
        <v/>
      </c>
      <c r="F38" s="25">
        <f>D38+E38</f>
        <v/>
      </c>
    </row>
    <row r="39">
      <c r="A39" s="11">
        <f>Model!A39</f>
        <v/>
      </c>
      <c r="B39" s="20">
        <f>SUM(Model!G28:G39)</f>
        <v/>
      </c>
      <c r="C39" s="20">
        <f>SUM(Model!G16:G27)</f>
        <v/>
      </c>
      <c r="D39" s="22">
        <f>IFERROR(B39/C39-1,0)</f>
        <v/>
      </c>
      <c r="E39" s="22">
        <f>IFERROR(SUM(Model!N28:N39)/SUM(Model!G28:G39),0)</f>
        <v/>
      </c>
      <c r="F39" s="22">
        <f>D39+E39</f>
        <v/>
      </c>
    </row>
    <row r="40">
      <c r="A40" s="14">
        <f>Model!A40</f>
        <v/>
      </c>
      <c r="B40" s="23">
        <f>SUM(Model!G29:G40)</f>
        <v/>
      </c>
      <c r="C40" s="23">
        <f>SUM(Model!G17:G28)</f>
        <v/>
      </c>
      <c r="D40" s="25">
        <f>IFERROR(B40/C40-1,0)</f>
        <v/>
      </c>
      <c r="E40" s="25">
        <f>IFERROR(SUM(Model!N29:N40)/SUM(Model!G29:G40),0)</f>
        <v/>
      </c>
      <c r="F40" s="25">
        <f>D40+E40</f>
        <v/>
      </c>
    </row>
    <row r="42">
      <c r="A42" s="34" t="inlineStr">
        <is>
          <t>Latest TTM</t>
        </is>
      </c>
      <c r="B42" s="29">
        <f>B40</f>
        <v/>
      </c>
      <c r="D42" s="35">
        <f>D40</f>
        <v/>
      </c>
      <c r="E42" s="35">
        <f>E40</f>
        <v/>
      </c>
      <c r="F42" s="35">
        <f>F40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 customWidth="1" min="1" max="1"/>
    <col width="28" customWidth="1" min="2" max="2"/>
    <col width="18" customWidth="1" min="3" max="3"/>
    <col width="18" customWidth="1" min="4" max="4"/>
    <col width="14" customWidth="1" min="5" max="5"/>
    <col width="40" customWidth="1" min="6" max="6"/>
  </cols>
  <sheetData>
    <row r="1">
      <c r="A1" s="9" t="inlineStr">
        <is>
          <t>Reconciliation — model vs last quarter's board deck (slide 7)</t>
        </is>
      </c>
    </row>
    <row r="2" ht="30" customHeight="1">
      <c r="A2" s="36" t="inlineStr">
        <is>
          <t>Board deck slide 7 is labelled 'end of Q2' (Jun-2026). Figures below compare the deck's stated values to this model's computed values for the same period.</t>
        </is>
      </c>
    </row>
    <row r="4">
      <c r="B4" s="10" t="inlineStr">
        <is>
          <t>Metric</t>
        </is>
      </c>
      <c r="C4" s="10" t="inlineStr">
        <is>
          <t>Board deck (slide 7)</t>
        </is>
      </c>
      <c r="D4" s="10" t="inlineStr">
        <is>
          <t>This model</t>
        </is>
      </c>
      <c r="E4" s="10" t="inlineStr">
        <is>
          <t>Δ</t>
        </is>
      </c>
      <c r="F4" s="10" t="inlineStr">
        <is>
          <t>Note</t>
        </is>
      </c>
    </row>
    <row r="5" ht="46" customHeight="1">
      <c r="B5" s="5" t="inlineStr">
        <is>
          <t>CAC (TTM)</t>
        </is>
      </c>
      <c r="C5" s="37" t="n">
        <v>1583</v>
      </c>
      <c r="D5" s="37">
        <f>'Unit Economics'!H37</f>
        <v/>
      </c>
      <c r="E5" s="37">
        <f>C5-D5</f>
        <v/>
      </c>
      <c r="F5" s="38" t="inlineStr">
        <is>
          <t>Deck states $1,583; model computes ~$1,157. The deck's CAC does not tie to any trailing window on the source data — closest single-month CAC (Jun-2026) is ~$1,263, still not $1,583. Likely a prior-period figure or a different S&amp;M basis.</t>
        </is>
      </c>
    </row>
    <row r="6" ht="46" customHeight="1">
      <c r="B6" s="39" t="inlineStr">
        <is>
          <t>LTV</t>
        </is>
      </c>
      <c r="C6" s="40" t="n">
        <v>8019.93</v>
      </c>
      <c r="D6" s="40">
        <f>'Unit Economics'!I37</f>
        <v/>
      </c>
      <c r="E6" s="40">
        <f>C6-D6</f>
        <v/>
      </c>
      <c r="F6" s="41" t="inlineStr">
        <is>
          <t>Deck states $8,019.93; model computes ~$7,743 (TTM-average churn) or ~$8,472 (point-in-time end-month churn). The deck value falls between the two conventions — it does not reproduce under either standard method.</t>
        </is>
      </c>
    </row>
    <row r="7" ht="46" customHeight="1">
      <c r="B7" s="5" t="inlineStr">
        <is>
          <t>CAC payback (months)</t>
        </is>
      </c>
      <c r="C7" s="42" t="n">
        <v>6.44</v>
      </c>
      <c r="D7" s="42">
        <f>'Unit Economics'!K37</f>
        <v/>
      </c>
      <c r="E7" s="42">
        <f>C7-D7</f>
        <v/>
      </c>
      <c r="F7" s="38" t="inlineStr">
        <is>
          <t>Deck states 6.44; model computes ~6.35. Small (~0.1m) difference, consistent with the LTV/churn method above.</t>
        </is>
      </c>
    </row>
    <row r="8" ht="46" customHeight="1">
      <c r="B8" s="39" t="inlineStr">
        <is>
          <t>ARPA</t>
        </is>
      </c>
      <c r="C8" s="40" t="n">
        <v>236.27</v>
      </c>
      <c r="D8" s="40">
        <f>'Unit Economics'!C37</f>
        <v/>
      </c>
      <c r="E8" s="40">
        <f>C8-D8</f>
        <v/>
      </c>
      <c r="F8" s="41" t="inlineStr">
        <is>
          <t>Deck states $236.27 — but that is the ARPA for Sep-2026 (end of Q3), NOT Jun-2026 ($235.13). The deck appears to have used a later or restated customer/MRR figure than the period it labels.</t>
        </is>
      </c>
    </row>
    <row r="10">
      <c r="B10" s="3" t="inlineStr">
        <is>
          <t>Bottom line</t>
        </is>
      </c>
    </row>
    <row r="11" ht="58" customHeight="1">
      <c r="B11" s="4" t="inlineStr">
        <is>
          <t>Three of the four slide-7 figures do not reproduce from the source data for the stated period (Jun-2026). The ARPA figure ($236.27) matches Sep-2026, not Jun-2026 — suggesting the deck either pulled a later snapshot or mixed period labels. The CAC figure ($1,583) does not tie to any trailing window in the data. Recommend re-cutting slide 7 against this model before the investor update goes out.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11"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9" t="inlineStr">
        <is>
          <t>Projections — 6-month forward look (Oct 2026 → Mar 2027)</t>
        </is>
      </c>
    </row>
    <row r="2" ht="30" customHeight="1">
      <c r="A2" s="36" t="inlineStr">
        <is>
          <t>Assumptions: MRR follows a 3-month linear trend; churn rate = 12-month trailing average; new customers = prior 3-month average; S&amp;M scales with MRR at the 12-month trailing ratio. Not guidance.</t>
        </is>
      </c>
    </row>
    <row r="4" ht="28" customHeight="1">
      <c r="A4" s="19" t="inlineStr">
        <is>
          <t>month</t>
        </is>
      </c>
      <c r="B4" s="19" t="inlineStr">
        <is>
          <t>mrr_projected</t>
        </is>
      </c>
      <c r="C4" s="19" t="inlineStr">
        <is>
          <t>customers_end</t>
        </is>
      </c>
      <c r="D4" s="19" t="inlineStr">
        <is>
          <t>arpa</t>
        </is>
      </c>
      <c r="E4" s="19" t="inlineStr">
        <is>
          <t>new_customers</t>
        </is>
      </c>
      <c r="F4" s="19" t="inlineStr">
        <is>
          <t>churned_customers</t>
        </is>
      </c>
      <c r="G4" s="19" t="inlineStr">
        <is>
          <t>cac</t>
        </is>
      </c>
      <c r="H4" s="19" t="inlineStr">
        <is>
          <t>gross_margin</t>
        </is>
      </c>
    </row>
    <row r="5">
      <c r="A5" s="11" t="n"/>
      <c r="B5" s="20">
        <f>Model!G40+(Model!G40-Model!G38)/2</f>
        <v/>
      </c>
      <c r="C5" s="13">
        <f>Model!E40+AVERAGE(Model!C38:C40)-Model!E40*AVERAGE('Unit Economics'!E17:E28)</f>
        <v/>
      </c>
      <c r="D5" s="21">
        <f>IFERROR(B5/C5,0)</f>
        <v/>
      </c>
      <c r="E5" s="13">
        <f>AVERAGE(Model!C38:C40)</f>
        <v/>
      </c>
      <c r="F5" s="13">
        <f>ROUND(C5*AVERAGE('Unit Economics'!E17:E28),0)</f>
        <v/>
      </c>
      <c r="G5" s="21">
        <f>IFERROR(AVERAGE(Model!L29:L40)/AVERAGE(Model!C29:C40),0)</f>
        <v/>
      </c>
      <c r="H5" s="22">
        <f>AVERAGE(Model!K29:K40)</f>
        <v/>
      </c>
    </row>
    <row r="6">
      <c r="A6" s="14" t="n"/>
      <c r="B6" s="23">
        <f>B5+(Model!G40-Model!G38)/2</f>
        <v/>
      </c>
      <c r="C6" s="16">
        <f>C5+AVERAGE(Model!C38:C40)-C5*AVERAGE('Unit Economics'!E17:E28)</f>
        <v/>
      </c>
      <c r="D6" s="24">
        <f>IFERROR(B6/C6,0)</f>
        <v/>
      </c>
      <c r="E6" s="16">
        <f>AVERAGE(Model!C38:C40)</f>
        <v/>
      </c>
      <c r="F6" s="16">
        <f>ROUND(C6*AVERAGE('Unit Economics'!E17:E28),0)</f>
        <v/>
      </c>
      <c r="G6" s="24">
        <f>IFERROR(AVERAGE(Model!L29:L40)/AVERAGE(Model!C29:C40),0)</f>
        <v/>
      </c>
      <c r="H6" s="25">
        <f>AVERAGE(Model!K29:K40)</f>
        <v/>
      </c>
    </row>
    <row r="7">
      <c r="A7" s="11" t="n"/>
      <c r="B7" s="20">
        <f>B6+(Model!G40-Model!G38)/2</f>
        <v/>
      </c>
      <c r="C7" s="13">
        <f>C6+AVERAGE(Model!C38:C40)-C6*AVERAGE('Unit Economics'!E17:E28)</f>
        <v/>
      </c>
      <c r="D7" s="21">
        <f>IFERROR(B7/C7,0)</f>
        <v/>
      </c>
      <c r="E7" s="13">
        <f>AVERAGE(Model!C38:C40)</f>
        <v/>
      </c>
      <c r="F7" s="13">
        <f>ROUND(C7*AVERAGE('Unit Economics'!E17:E28),0)</f>
        <v/>
      </c>
      <c r="G7" s="21">
        <f>IFERROR(AVERAGE(Model!L29:L40)/AVERAGE(Model!C29:C40),0)</f>
        <v/>
      </c>
      <c r="H7" s="22">
        <f>AVERAGE(Model!K29:K40)</f>
        <v/>
      </c>
    </row>
    <row r="8">
      <c r="A8" s="14" t="n"/>
      <c r="B8" s="23">
        <f>B7+(Model!G40-Model!G38)/2</f>
        <v/>
      </c>
      <c r="C8" s="16">
        <f>C7+AVERAGE(Model!C38:C40)-C7*AVERAGE('Unit Economics'!E17:E28)</f>
        <v/>
      </c>
      <c r="D8" s="24">
        <f>IFERROR(B8/C8,0)</f>
        <v/>
      </c>
      <c r="E8" s="16">
        <f>AVERAGE(Model!C38:C40)</f>
        <v/>
      </c>
      <c r="F8" s="16">
        <f>ROUND(C8*AVERAGE('Unit Economics'!E17:E28),0)</f>
        <v/>
      </c>
      <c r="G8" s="24">
        <f>IFERROR(AVERAGE(Model!L29:L40)/AVERAGE(Model!C29:C40),0)</f>
        <v/>
      </c>
      <c r="H8" s="25">
        <f>AVERAGE(Model!K29:K40)</f>
        <v/>
      </c>
    </row>
    <row r="9">
      <c r="A9" s="11" t="n"/>
      <c r="B9" s="20">
        <f>B8+(Model!G40-Model!G38)/2</f>
        <v/>
      </c>
      <c r="C9" s="13">
        <f>C8+AVERAGE(Model!C38:C40)-C8*AVERAGE('Unit Economics'!E17:E28)</f>
        <v/>
      </c>
      <c r="D9" s="21">
        <f>IFERROR(B9/C9,0)</f>
        <v/>
      </c>
      <c r="E9" s="13">
        <f>AVERAGE(Model!C38:C40)</f>
        <v/>
      </c>
      <c r="F9" s="13">
        <f>ROUND(C9*AVERAGE('Unit Economics'!E17:E28),0)</f>
        <v/>
      </c>
      <c r="G9" s="21">
        <f>IFERROR(AVERAGE(Model!L29:L40)/AVERAGE(Model!C29:C40),0)</f>
        <v/>
      </c>
      <c r="H9" s="22">
        <f>AVERAGE(Model!K29:K40)</f>
        <v/>
      </c>
    </row>
    <row r="10">
      <c r="A10" s="14" t="n"/>
      <c r="B10" s="23">
        <f>B9+(Model!G40-Model!G38)/2</f>
        <v/>
      </c>
      <c r="C10" s="16">
        <f>C9+AVERAGE(Model!C38:C40)-C9*AVERAGE('Unit Economics'!E17:E28)</f>
        <v/>
      </c>
      <c r="D10" s="24">
        <f>IFERROR(B10/C10,0)</f>
        <v/>
      </c>
      <c r="E10" s="16">
        <f>AVERAGE(Model!C38:C40)</f>
        <v/>
      </c>
      <c r="F10" s="16">
        <f>ROUND(C10*AVERAGE('Unit Economics'!E17:E28),0)</f>
        <v/>
      </c>
      <c r="G10" s="24">
        <f>IFERROR(AVERAGE(Model!L29:L40)/AVERAGE(Model!C29:C40),0)</f>
        <v/>
      </c>
      <c r="H10" s="25">
        <f>AVERAGE(Model!K29:K40)</f>
        <v/>
      </c>
    </row>
    <row r="12">
      <c r="A12" s="3" t="inlineStr">
        <is>
          <t>Assumptions</t>
        </is>
      </c>
    </row>
    <row r="13">
      <c r="A13" s="43" t="inlineStr">
        <is>
          <t>MRR trend slope</t>
        </is>
      </c>
      <c r="D13" s="44">
        <f>(Model!G40-Model!G38)/2</f>
        <v/>
      </c>
    </row>
    <row r="14">
      <c r="A14" s="43" t="inlineStr">
        <is>
          <t>Avg monthly churn (TTM)</t>
        </is>
      </c>
      <c r="D14" s="45">
        <f>AVERAGE('Unit Economics'!E17:E28)</f>
        <v/>
      </c>
    </row>
    <row r="15">
      <c r="A15" s="43" t="inlineStr">
        <is>
          <t>Avg new customers (last 3mo)</t>
        </is>
      </c>
      <c r="D15" s="46">
        <f>AVERAGE(Model!C38:C40)</f>
        <v/>
      </c>
    </row>
    <row r="16">
      <c r="A16" s="43" t="inlineStr">
        <is>
          <t>Opening customers (Sep-2026)</t>
        </is>
      </c>
      <c r="D16" s="47">
        <f>Model!E40</f>
        <v/>
      </c>
    </row>
    <row r="18">
      <c r="A18" s="8" t="inlineStr">
        <is>
          <t>Note: Projections are directional, not guidance. Refresh assumptions before circulating externally.</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2026-09-10T15:05:14Z</dcterms:created>
  <dcterms:modified xmlns:dcterms="http://purl.org/dc/terms/" xmlns:xsi="http://www.w3.org/2001/XMLSchema-instance" xsi:type="dcterms:W3CDTF">2026-09-10T15:05:14Z</dcterms:modified>
</cp:coreProperties>
</file>