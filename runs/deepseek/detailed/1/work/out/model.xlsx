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unit_economic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lo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4" fontId="1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7" customWidth="1" min="4" max="4"/>
    <col width="12" customWidth="1" min="5" max="5"/>
    <col width="21" customWidth="1" min="6" max="6"/>
    <col width="11" customWidth="1" min="7" max="7"/>
  </cols>
  <sheetData>
    <row r="1">
      <c r="A1" s="1" t="inlineStr">
        <is>
          <t>month</t>
        </is>
      </c>
      <c r="B1" s="1" t="inlineStr">
        <is>
          <t>mrr</t>
        </is>
      </c>
      <c r="C1" s="1" t="inlineStr">
        <is>
          <t>new_customers</t>
        </is>
      </c>
      <c r="D1" s="1" t="inlineStr">
        <is>
          <t>churned_customers</t>
        </is>
      </c>
      <c r="E1" s="1" t="inlineStr">
        <is>
          <t>cogs</t>
        </is>
      </c>
      <c r="F1" s="1" t="inlineStr">
        <is>
          <t>sales_marketing_spend</t>
        </is>
      </c>
      <c r="G1" s="1" t="inlineStr">
        <is>
          <t>headcount</t>
        </is>
      </c>
    </row>
    <row r="2">
      <c r="A2" t="inlineStr">
        <is>
          <t>2023-10</t>
        </is>
      </c>
      <c r="B2" s="2" t="n">
        <v>22955.41</v>
      </c>
      <c r="C2" t="n">
        <v>14</v>
      </c>
      <c r="D2" t="n">
        <v>4</v>
      </c>
      <c r="E2" s="2" t="n">
        <v>6427.51</v>
      </c>
      <c r="F2" s="2" t="n">
        <v>12146.46</v>
      </c>
      <c r="G2" t="n">
        <v>9</v>
      </c>
    </row>
    <row r="3">
      <c r="A3" t="inlineStr">
        <is>
          <t>2023-11</t>
        </is>
      </c>
      <c r="B3" s="2" t="n">
        <v>25680.63</v>
      </c>
      <c r="C3" t="n">
        <v>14</v>
      </c>
      <c r="D3" t="n">
        <v>4</v>
      </c>
      <c r="E3" s="2" t="n">
        <v>7146.55</v>
      </c>
      <c r="F3" s="2" t="n">
        <v>13079.62</v>
      </c>
      <c r="G3" t="n">
        <v>10</v>
      </c>
    </row>
    <row r="4">
      <c r="A4" t="inlineStr">
        <is>
          <t>2023-12</t>
        </is>
      </c>
      <c r="B4" s="2" t="n">
        <v>27600.88</v>
      </c>
      <c r="C4" t="n">
        <v>17</v>
      </c>
      <c r="D4" t="n">
        <v>4</v>
      </c>
      <c r="E4" s="2" t="n">
        <v>7633.61</v>
      </c>
      <c r="F4" s="2" t="n">
        <v>15396.65</v>
      </c>
      <c r="G4" t="n">
        <v>10</v>
      </c>
    </row>
    <row r="5">
      <c r="A5" t="inlineStr">
        <is>
          <t>2024-01</t>
        </is>
      </c>
      <c r="B5" s="2" t="n">
        <v>29838.64</v>
      </c>
      <c r="C5" t="n">
        <v>15</v>
      </c>
      <c r="D5" t="n">
        <v>5</v>
      </c>
      <c r="E5" s="2" t="n">
        <v>8201.360000000001</v>
      </c>
      <c r="F5" s="2" t="n">
        <v>13897.61</v>
      </c>
      <c r="G5" t="n">
        <v>11</v>
      </c>
    </row>
    <row r="6">
      <c r="A6" t="inlineStr">
        <is>
          <t>2024-02</t>
        </is>
      </c>
      <c r="B6" s="2" t="n">
        <v>31936.87</v>
      </c>
      <c r="C6" t="n">
        <v>15</v>
      </c>
      <c r="D6" t="n">
        <v>5</v>
      </c>
      <c r="E6" s="2" t="n">
        <v>8723.33</v>
      </c>
      <c r="F6" s="2" t="n">
        <v>14350.37</v>
      </c>
      <c r="G6" t="n">
        <v>12</v>
      </c>
    </row>
    <row r="7">
      <c r="A7" t="inlineStr">
        <is>
          <t>2024-03</t>
        </is>
      </c>
      <c r="B7" s="2" t="n">
        <v>34682.07</v>
      </c>
      <c r="C7" t="n">
        <v>18</v>
      </c>
      <c r="D7" t="n">
        <v>5</v>
      </c>
      <c r="E7" s="2" t="n">
        <v>9413.700000000001</v>
      </c>
      <c r="F7" s="2" t="n">
        <v>17213.82</v>
      </c>
      <c r="G7" t="n">
        <v>13</v>
      </c>
    </row>
    <row r="8">
      <c r="A8" t="inlineStr">
        <is>
          <t>2024-04</t>
        </is>
      </c>
      <c r="B8" s="2" t="n">
        <v>37305.89</v>
      </c>
      <c r="C8" t="n">
        <v>20</v>
      </c>
      <c r="D8" t="n">
        <v>6</v>
      </c>
      <c r="E8" s="2" t="n">
        <v>10061.93</v>
      </c>
      <c r="F8" s="2" t="n">
        <v>19959.66</v>
      </c>
      <c r="G8" t="n">
        <v>13</v>
      </c>
    </row>
    <row r="9">
      <c r="A9" t="inlineStr">
        <is>
          <t>2024-05</t>
        </is>
      </c>
      <c r="B9" s="2" t="n">
        <v>40825.45</v>
      </c>
      <c r="C9" t="n">
        <v>20</v>
      </c>
      <c r="D9" t="n">
        <v>6</v>
      </c>
      <c r="E9" s="2" t="n">
        <v>10941.22</v>
      </c>
      <c r="F9" s="2" t="n">
        <v>18141.63</v>
      </c>
      <c r="G9" t="n">
        <v>14</v>
      </c>
    </row>
    <row r="10">
      <c r="A10" t="inlineStr">
        <is>
          <t>2024-06</t>
        </is>
      </c>
      <c r="B10" s="2" t="n">
        <v>44263.07</v>
      </c>
      <c r="C10" t="n">
        <v>22</v>
      </c>
      <c r="D10" t="n">
        <v>6</v>
      </c>
      <c r="E10" s="2" t="n">
        <v>11786.62</v>
      </c>
      <c r="F10" s="2" t="n">
        <v>19920.09</v>
      </c>
      <c r="G10" t="n">
        <v>15</v>
      </c>
    </row>
    <row r="11">
      <c r="A11" t="inlineStr">
        <is>
          <t>2024-07</t>
        </is>
      </c>
      <c r="B11" s="2" t="n">
        <v>47951.09</v>
      </c>
      <c r="C11" t="n">
        <v>19</v>
      </c>
      <c r="D11" t="n">
        <v>7</v>
      </c>
      <c r="E11" s="2" t="n">
        <v>12686.49</v>
      </c>
      <c r="F11" s="2" t="n">
        <v>18873.83</v>
      </c>
      <c r="G11" t="n">
        <v>15</v>
      </c>
    </row>
    <row r="12">
      <c r="A12" t="inlineStr">
        <is>
          <t>2024-08</t>
        </is>
      </c>
      <c r="B12" s="2" t="n">
        <v>51330.25</v>
      </c>
      <c r="C12" t="n">
        <v>23</v>
      </c>
      <c r="D12" t="n">
        <v>7</v>
      </c>
      <c r="E12" s="2" t="n">
        <v>13492.52</v>
      </c>
      <c r="F12" s="2" t="n">
        <v>22802.84</v>
      </c>
      <c r="G12" t="n">
        <v>16</v>
      </c>
    </row>
    <row r="13">
      <c r="A13" t="inlineStr">
        <is>
          <t>2024-09</t>
        </is>
      </c>
      <c r="B13" s="2" t="n">
        <v>54420.02</v>
      </c>
      <c r="C13" t="n">
        <v>24</v>
      </c>
      <c r="D13" t="n">
        <v>7</v>
      </c>
      <c r="E13" s="2" t="n">
        <v>14211.4</v>
      </c>
      <c r="F13" s="2" t="n">
        <v>24061.55</v>
      </c>
      <c r="G13" t="n">
        <v>17</v>
      </c>
    </row>
    <row r="14">
      <c r="A14" t="inlineStr">
        <is>
          <t>2024-10</t>
        </is>
      </c>
      <c r="B14" s="2" t="n">
        <v>58642.99</v>
      </c>
      <c r="C14" t="n">
        <v>24</v>
      </c>
      <c r="D14" t="n">
        <v>8</v>
      </c>
      <c r="E14" s="2" t="n">
        <v>15213.67</v>
      </c>
      <c r="F14" s="2" t="n">
        <v>25461.49</v>
      </c>
      <c r="G14" t="n">
        <v>18</v>
      </c>
    </row>
    <row r="15">
      <c r="A15" t="inlineStr">
        <is>
          <t>2024-11</t>
        </is>
      </c>
      <c r="B15" s="2" t="n">
        <v>62609.88</v>
      </c>
      <c r="C15" t="n">
        <v>24</v>
      </c>
      <c r="D15" t="n">
        <v>8</v>
      </c>
      <c r="E15" s="2" t="n">
        <v>16135.46</v>
      </c>
      <c r="F15" s="2" t="n">
        <v>22510.32</v>
      </c>
      <c r="G15" t="n">
        <v>18</v>
      </c>
    </row>
    <row r="16">
      <c r="A16" t="inlineStr">
        <is>
          <t>2024-12</t>
        </is>
      </c>
      <c r="B16" s="2" t="n">
        <v>65134.61</v>
      </c>
      <c r="C16" t="n">
        <v>23</v>
      </c>
      <c r="D16" t="n">
        <v>8</v>
      </c>
      <c r="E16" s="2" t="n">
        <v>16674.46</v>
      </c>
      <c r="F16" s="2" t="n">
        <v>21882.71</v>
      </c>
      <c r="G16" t="n">
        <v>19</v>
      </c>
    </row>
    <row r="17">
      <c r="A17" t="inlineStr">
        <is>
          <t>2025-01</t>
        </is>
      </c>
      <c r="B17" s="2" t="n">
        <v>68219.28</v>
      </c>
      <c r="C17" t="n">
        <v>24</v>
      </c>
      <c r="D17" t="n">
        <v>9</v>
      </c>
      <c r="E17" s="2" t="n">
        <v>17347.19</v>
      </c>
      <c r="F17" s="2" t="n">
        <v>23808.77</v>
      </c>
      <c r="G17" t="n">
        <v>20</v>
      </c>
    </row>
    <row r="18">
      <c r="A18" t="inlineStr">
        <is>
          <t>2025-02</t>
        </is>
      </c>
      <c r="B18" s="2" t="n">
        <v>73239.00999999999</v>
      </c>
      <c r="C18" t="n">
        <v>27</v>
      </c>
      <c r="D18" t="n">
        <v>9</v>
      </c>
      <c r="E18" s="2" t="n">
        <v>18498.08</v>
      </c>
      <c r="F18" s="2" t="n">
        <v>27421.21</v>
      </c>
      <c r="G18" t="n">
        <v>20</v>
      </c>
    </row>
    <row r="19">
      <c r="A19" t="inlineStr">
        <is>
          <t>2025-03</t>
        </is>
      </c>
      <c r="B19" s="2" t="n">
        <v>76868.77</v>
      </c>
      <c r="C19" t="n">
        <v>25</v>
      </c>
      <c r="D19" t="n">
        <v>9</v>
      </c>
      <c r="E19" s="2" t="n">
        <v>19283.08</v>
      </c>
      <c r="F19" s="2" t="n">
        <v>27969.32</v>
      </c>
      <c r="G19" t="n">
        <v>21</v>
      </c>
    </row>
    <row r="20">
      <c r="A20" t="inlineStr">
        <is>
          <t>2025-04</t>
        </is>
      </c>
      <c r="B20" s="2" t="n">
        <v>82381.48</v>
      </c>
      <c r="C20" t="n">
        <v>28</v>
      </c>
      <c r="D20" t="n">
        <v>10</v>
      </c>
      <c r="E20" s="2" t="n">
        <v>20524.76</v>
      </c>
      <c r="F20" s="2" t="n">
        <v>27966.72</v>
      </c>
      <c r="G20" t="n">
        <v>22</v>
      </c>
    </row>
    <row r="21">
      <c r="A21" t="inlineStr">
        <is>
          <t>2025-05</t>
        </is>
      </c>
      <c r="B21" s="2" t="n">
        <v>85561.42999999999</v>
      </c>
      <c r="C21" t="n">
        <v>29</v>
      </c>
      <c r="D21" t="n">
        <v>10</v>
      </c>
      <c r="E21" s="2" t="n">
        <v>21170.34</v>
      </c>
      <c r="F21" s="2" t="n">
        <v>30228.37</v>
      </c>
      <c r="G21" t="n">
        <v>23</v>
      </c>
    </row>
    <row r="22">
      <c r="A22" t="inlineStr">
        <is>
          <t>2025-06</t>
        </is>
      </c>
      <c r="B22" s="2" t="n">
        <v>92658.86</v>
      </c>
      <c r="C22" t="n">
        <v>32</v>
      </c>
      <c r="D22" t="n">
        <v>10</v>
      </c>
      <c r="E22" s="2" t="n">
        <v>22767.61</v>
      </c>
      <c r="F22" s="2" t="n">
        <v>34598.12</v>
      </c>
      <c r="G22" t="n">
        <v>23</v>
      </c>
    </row>
    <row r="23">
      <c r="A23" t="inlineStr">
        <is>
          <t>2025-07</t>
        </is>
      </c>
      <c r="B23" s="2" t="n">
        <v>98533.00999999999</v>
      </c>
      <c r="C23" t="n">
        <v>31</v>
      </c>
      <c r="D23" t="n">
        <v>11</v>
      </c>
      <c r="E23" s="2" t="n">
        <v>24042.05</v>
      </c>
      <c r="F23" s="2" t="n">
        <v>34958.48</v>
      </c>
      <c r="G23" t="n">
        <v>24</v>
      </c>
    </row>
    <row r="24">
      <c r="A24" t="inlineStr">
        <is>
          <t>2025-08</t>
        </is>
      </c>
      <c r="B24" s="2" t="n">
        <v>99983.31</v>
      </c>
      <c r="C24" t="n">
        <v>29</v>
      </c>
      <c r="D24" t="n">
        <v>11</v>
      </c>
      <c r="E24" s="2" t="n">
        <v>24224.53</v>
      </c>
      <c r="F24" s="2" t="n">
        <v>30636.43</v>
      </c>
      <c r="G24" t="n">
        <v>25</v>
      </c>
    </row>
    <row r="25">
      <c r="A25" t="inlineStr">
        <is>
          <t>2025-09</t>
        </is>
      </c>
      <c r="B25" s="2" t="n">
        <v>105409.43</v>
      </c>
      <c r="C25" t="n">
        <v>30</v>
      </c>
      <c r="D25" t="n">
        <v>12</v>
      </c>
      <c r="E25" s="2" t="n">
        <v>25358.5</v>
      </c>
      <c r="F25" s="2" t="n">
        <v>35246.77</v>
      </c>
      <c r="G25" t="n">
        <v>25</v>
      </c>
    </row>
    <row r="26">
      <c r="A26" t="inlineStr">
        <is>
          <t>2025-10</t>
        </is>
      </c>
      <c r="B26" s="2" t="n">
        <v>111507.8</v>
      </c>
      <c r="C26" t="n">
        <v>34</v>
      </c>
      <c r="D26" t="n">
        <v>12</v>
      </c>
      <c r="E26" s="2" t="n">
        <v>26634.43</v>
      </c>
      <c r="F26" s="2" t="n">
        <v>38529.26</v>
      </c>
      <c r="G26" t="n">
        <v>26</v>
      </c>
    </row>
    <row r="27">
      <c r="A27" t="inlineStr">
        <is>
          <t>2025-11</t>
        </is>
      </c>
      <c r="B27" s="2" t="n">
        <v>119619.74</v>
      </c>
      <c r="C27" t="n">
        <v>32</v>
      </c>
      <c r="D27" t="n">
        <v>12</v>
      </c>
      <c r="E27" s="2" t="n">
        <v>28366.97</v>
      </c>
      <c r="F27" s="2" t="n">
        <v>35422.39</v>
      </c>
      <c r="G27" t="n">
        <v>27</v>
      </c>
    </row>
    <row r="28">
      <c r="A28" t="inlineStr">
        <is>
          <t>2025-12</t>
        </is>
      </c>
      <c r="B28" s="2" t="n">
        <v>121595.59</v>
      </c>
      <c r="C28" t="n">
        <v>32</v>
      </c>
      <c r="D28" t="n">
        <v>13</v>
      </c>
      <c r="E28" s="2" t="n">
        <v>28627.08</v>
      </c>
      <c r="F28" s="2" t="n">
        <v>36284.24</v>
      </c>
      <c r="G28" t="n">
        <v>28</v>
      </c>
    </row>
    <row r="29">
      <c r="A29" t="inlineStr">
        <is>
          <t>2026-01</t>
        </is>
      </c>
      <c r="B29" s="2" t="n">
        <v>128511.06</v>
      </c>
      <c r="C29" t="n">
        <v>32</v>
      </c>
      <c r="D29" t="n">
        <v>13</v>
      </c>
      <c r="E29" s="2" t="n">
        <v>30034.87</v>
      </c>
      <c r="F29" s="2" t="n">
        <v>38510.27</v>
      </c>
      <c r="G29" t="n">
        <v>28</v>
      </c>
    </row>
    <row r="30">
      <c r="A30" t="inlineStr">
        <is>
          <t>2026-02</t>
        </is>
      </c>
      <c r="B30" s="2" t="n">
        <v>132333.4</v>
      </c>
      <c r="C30" t="n">
        <v>34</v>
      </c>
      <c r="D30" t="n">
        <v>13</v>
      </c>
      <c r="E30" s="2" t="n">
        <v>30701.35</v>
      </c>
      <c r="F30" s="2" t="n">
        <v>41845.53</v>
      </c>
      <c r="G30" t="n">
        <v>29</v>
      </c>
    </row>
    <row r="31">
      <c r="A31" t="inlineStr">
        <is>
          <t>2026-03</t>
        </is>
      </c>
      <c r="B31" s="2" t="n">
        <v>137832.75</v>
      </c>
      <c r="C31" t="n">
        <v>36</v>
      </c>
      <c r="D31" t="n">
        <v>13</v>
      </c>
      <c r="E31" s="2" t="n">
        <v>31740.91</v>
      </c>
      <c r="F31" s="2" t="n">
        <v>38352.4</v>
      </c>
      <c r="G31" t="n">
        <v>30</v>
      </c>
    </row>
    <row r="32">
      <c r="A32" t="inlineStr">
        <is>
          <t>2026-04</t>
        </is>
      </c>
      <c r="B32" s="2" t="n">
        <v>146310.66</v>
      </c>
      <c r="C32" t="n">
        <v>33</v>
      </c>
      <c r="D32" t="n">
        <v>14</v>
      </c>
      <c r="E32" s="2" t="n">
        <v>33442.44</v>
      </c>
      <c r="F32" s="2" t="n">
        <v>39970.24</v>
      </c>
      <c r="G32" t="n">
        <v>30</v>
      </c>
    </row>
    <row r="33">
      <c r="A33" t="inlineStr">
        <is>
          <t>2026-05</t>
        </is>
      </c>
      <c r="B33" s="2" t="n">
        <v>149126.16</v>
      </c>
      <c r="C33" t="n">
        <v>36</v>
      </c>
      <c r="D33" t="n">
        <v>14</v>
      </c>
      <c r="E33" s="2" t="n">
        <v>33830.33</v>
      </c>
      <c r="F33" s="2" t="n">
        <v>41170.85</v>
      </c>
      <c r="G33" t="n">
        <v>31</v>
      </c>
    </row>
    <row r="34">
      <c r="A34" t="inlineStr">
        <is>
          <t>2026-06</t>
        </is>
      </c>
      <c r="B34" s="2" t="n">
        <v>159653.71</v>
      </c>
      <c r="C34" t="n">
        <v>42</v>
      </c>
      <c r="D34" t="n">
        <v>14</v>
      </c>
      <c r="E34" s="2" t="n">
        <v>35944.89</v>
      </c>
      <c r="F34" s="2" t="n">
        <v>53037.37</v>
      </c>
      <c r="G34" t="n">
        <v>32</v>
      </c>
    </row>
    <row r="35">
      <c r="A35" t="inlineStr">
        <is>
          <t>2026-07</t>
        </is>
      </c>
      <c r="B35" s="2" t="n">
        <v>163523.79</v>
      </c>
      <c r="C35" t="n">
        <v>41</v>
      </c>
      <c r="D35" t="n">
        <v>15</v>
      </c>
      <c r="E35" s="2" t="n">
        <v>36535.89</v>
      </c>
      <c r="F35" s="2" t="n">
        <v>50209.84</v>
      </c>
      <c r="G35" t="n">
        <v>33</v>
      </c>
    </row>
    <row r="36">
      <c r="A36" t="inlineStr">
        <is>
          <t>2026-08</t>
        </is>
      </c>
      <c r="B36" s="2" t="n">
        <v>174444.45</v>
      </c>
      <c r="C36" t="n">
        <v>41</v>
      </c>
      <c r="D36" t="n">
        <v>15</v>
      </c>
      <c r="E36" s="2" t="n">
        <v>38676.83</v>
      </c>
      <c r="F36" s="2" t="n">
        <v>47026.13</v>
      </c>
      <c r="G36" t="n">
        <v>33</v>
      </c>
    </row>
    <row r="37">
      <c r="A37" t="inlineStr">
        <is>
          <t>2026-09</t>
        </is>
      </c>
      <c r="B37" s="2" t="n">
        <v>178857.07</v>
      </c>
      <c r="C37" t="n">
        <v>41</v>
      </c>
      <c r="D37" t="n">
        <v>15</v>
      </c>
      <c r="E37" s="2" t="n">
        <v>39348.56</v>
      </c>
      <c r="F37" s="2" t="n">
        <v>48686.47</v>
      </c>
      <c r="G37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active_customers</t>
        </is>
      </c>
      <c r="C1" s="1" t="inlineStr">
        <is>
          <t>gross_margin</t>
        </is>
      </c>
      <c r="D1" s="1" t="inlineStr">
        <is>
          <t>monthly_churn</t>
        </is>
      </c>
    </row>
    <row r="2">
      <c r="A2">
        <f>raw!A2</f>
        <v/>
      </c>
      <c r="B2" s="3">
        <f>120+raw!C2-raw!D2</f>
        <v/>
      </c>
      <c r="C2" s="4">
        <f>(raw!B2-raw!E2)/raw!B2</f>
        <v/>
      </c>
      <c r="D2" s="4">
        <f>raw!D2/120</f>
        <v/>
      </c>
    </row>
    <row r="3">
      <c r="A3">
        <f>raw!A3</f>
        <v/>
      </c>
      <c r="B3" s="3">
        <f>B2+raw!C3-raw!D3</f>
        <v/>
      </c>
      <c r="C3" s="4">
        <f>(raw!B3-raw!E3)/raw!B3</f>
        <v/>
      </c>
      <c r="D3" s="4">
        <f>raw!D3/B2</f>
        <v/>
      </c>
    </row>
    <row r="4">
      <c r="A4">
        <f>raw!A4</f>
        <v/>
      </c>
      <c r="B4" s="3">
        <f>B3+raw!C4-raw!D4</f>
        <v/>
      </c>
      <c r="C4" s="4">
        <f>(raw!B4-raw!E4)/raw!B4</f>
        <v/>
      </c>
      <c r="D4" s="4">
        <f>raw!D4/B3</f>
        <v/>
      </c>
    </row>
    <row r="5">
      <c r="A5">
        <f>raw!A5</f>
        <v/>
      </c>
      <c r="B5" s="3">
        <f>B4+raw!C5-raw!D5</f>
        <v/>
      </c>
      <c r="C5" s="4">
        <f>(raw!B5-raw!E5)/raw!B5</f>
        <v/>
      </c>
      <c r="D5" s="4">
        <f>raw!D5/B4</f>
        <v/>
      </c>
    </row>
    <row r="6">
      <c r="A6">
        <f>raw!A6</f>
        <v/>
      </c>
      <c r="B6" s="3">
        <f>B5+raw!C6-raw!D6</f>
        <v/>
      </c>
      <c r="C6" s="4">
        <f>(raw!B6-raw!E6)/raw!B6</f>
        <v/>
      </c>
      <c r="D6" s="4">
        <f>raw!D6/B5</f>
        <v/>
      </c>
    </row>
    <row r="7">
      <c r="A7">
        <f>raw!A7</f>
        <v/>
      </c>
      <c r="B7" s="3">
        <f>B6+raw!C7-raw!D7</f>
        <v/>
      </c>
      <c r="C7" s="4">
        <f>(raw!B7-raw!E7)/raw!B7</f>
        <v/>
      </c>
      <c r="D7" s="4">
        <f>raw!D7/B6</f>
        <v/>
      </c>
    </row>
    <row r="8">
      <c r="A8">
        <f>raw!A8</f>
        <v/>
      </c>
      <c r="B8" s="3">
        <f>B7+raw!C8-raw!D8</f>
        <v/>
      </c>
      <c r="C8" s="4">
        <f>(raw!B8-raw!E8)/raw!B8</f>
        <v/>
      </c>
      <c r="D8" s="4">
        <f>raw!D8/B7</f>
        <v/>
      </c>
    </row>
    <row r="9">
      <c r="A9">
        <f>raw!A9</f>
        <v/>
      </c>
      <c r="B9" s="3">
        <f>B8+raw!C9-raw!D9</f>
        <v/>
      </c>
      <c r="C9" s="4">
        <f>(raw!B9-raw!E9)/raw!B9</f>
        <v/>
      </c>
      <c r="D9" s="4">
        <f>raw!D9/B8</f>
        <v/>
      </c>
    </row>
    <row r="10">
      <c r="A10">
        <f>raw!A10</f>
        <v/>
      </c>
      <c r="B10" s="3">
        <f>B9+raw!C10-raw!D10</f>
        <v/>
      </c>
      <c r="C10" s="4">
        <f>(raw!B10-raw!E10)/raw!B10</f>
        <v/>
      </c>
      <c r="D10" s="4">
        <f>raw!D10/B9</f>
        <v/>
      </c>
    </row>
    <row r="11">
      <c r="A11">
        <f>raw!A11</f>
        <v/>
      </c>
      <c r="B11" s="3">
        <f>B10+raw!C11-raw!D11</f>
        <v/>
      </c>
      <c r="C11" s="4">
        <f>(raw!B11-raw!E11)/raw!B11</f>
        <v/>
      </c>
      <c r="D11" s="4">
        <f>raw!D11/B10</f>
        <v/>
      </c>
    </row>
    <row r="12">
      <c r="A12">
        <f>raw!A12</f>
        <v/>
      </c>
      <c r="B12" s="3">
        <f>B11+raw!C12-raw!D12</f>
        <v/>
      </c>
      <c r="C12" s="4">
        <f>(raw!B12-raw!E12)/raw!B12</f>
        <v/>
      </c>
      <c r="D12" s="4">
        <f>raw!D12/B11</f>
        <v/>
      </c>
    </row>
    <row r="13">
      <c r="A13">
        <f>raw!A13</f>
        <v/>
      </c>
      <c r="B13" s="3">
        <f>B12+raw!C13-raw!D13</f>
        <v/>
      </c>
      <c r="C13" s="4">
        <f>(raw!B13-raw!E13)/raw!B13</f>
        <v/>
      </c>
      <c r="D13" s="4">
        <f>raw!D13/B12</f>
        <v/>
      </c>
    </row>
    <row r="14">
      <c r="A14">
        <f>raw!A14</f>
        <v/>
      </c>
      <c r="B14" s="3">
        <f>B13+raw!C14-raw!D14</f>
        <v/>
      </c>
      <c r="C14" s="4">
        <f>(raw!B14-raw!E14)/raw!B14</f>
        <v/>
      </c>
      <c r="D14" s="4">
        <f>raw!D14/B13</f>
        <v/>
      </c>
    </row>
    <row r="15">
      <c r="A15">
        <f>raw!A15</f>
        <v/>
      </c>
      <c r="B15" s="3">
        <f>B14+raw!C15-raw!D15</f>
        <v/>
      </c>
      <c r="C15" s="4">
        <f>(raw!B15-raw!E15)/raw!B15</f>
        <v/>
      </c>
      <c r="D15" s="4">
        <f>raw!D15/B14</f>
        <v/>
      </c>
    </row>
    <row r="16">
      <c r="A16">
        <f>raw!A16</f>
        <v/>
      </c>
      <c r="B16" s="3">
        <f>B15+raw!C16-raw!D16</f>
        <v/>
      </c>
      <c r="C16" s="4">
        <f>(raw!B16-raw!E16)/raw!B16</f>
        <v/>
      </c>
      <c r="D16" s="4">
        <f>raw!D16/B15</f>
        <v/>
      </c>
    </row>
    <row r="17">
      <c r="A17">
        <f>raw!A17</f>
        <v/>
      </c>
      <c r="B17" s="3">
        <f>B16+raw!C17-raw!D17</f>
        <v/>
      </c>
      <c r="C17" s="4">
        <f>(raw!B17-raw!E17)/raw!B17</f>
        <v/>
      </c>
      <c r="D17" s="4">
        <f>raw!D17/B16</f>
        <v/>
      </c>
    </row>
    <row r="18">
      <c r="A18">
        <f>raw!A18</f>
        <v/>
      </c>
      <c r="B18" s="3">
        <f>B17+raw!C18-raw!D18</f>
        <v/>
      </c>
      <c r="C18" s="4">
        <f>(raw!B18-raw!E18)/raw!B18</f>
        <v/>
      </c>
      <c r="D18" s="4">
        <f>raw!D18/B17</f>
        <v/>
      </c>
    </row>
    <row r="19">
      <c r="A19">
        <f>raw!A19</f>
        <v/>
      </c>
      <c r="B19" s="3">
        <f>B18+raw!C19-raw!D19</f>
        <v/>
      </c>
      <c r="C19" s="4">
        <f>(raw!B19-raw!E19)/raw!B19</f>
        <v/>
      </c>
      <c r="D19" s="4">
        <f>raw!D19/B18</f>
        <v/>
      </c>
    </row>
    <row r="20">
      <c r="A20">
        <f>raw!A20</f>
        <v/>
      </c>
      <c r="B20" s="3">
        <f>B19+raw!C20-raw!D20</f>
        <v/>
      </c>
      <c r="C20" s="4">
        <f>(raw!B20-raw!E20)/raw!B20</f>
        <v/>
      </c>
      <c r="D20" s="4">
        <f>raw!D20/B19</f>
        <v/>
      </c>
    </row>
    <row r="21">
      <c r="A21">
        <f>raw!A21</f>
        <v/>
      </c>
      <c r="B21" s="3">
        <f>B20+raw!C21-raw!D21</f>
        <v/>
      </c>
      <c r="C21" s="4">
        <f>(raw!B21-raw!E21)/raw!B21</f>
        <v/>
      </c>
      <c r="D21" s="4">
        <f>raw!D21/B20</f>
        <v/>
      </c>
    </row>
    <row r="22">
      <c r="A22">
        <f>raw!A22</f>
        <v/>
      </c>
      <c r="B22" s="3">
        <f>B21+raw!C22-raw!D22</f>
        <v/>
      </c>
      <c r="C22" s="4">
        <f>(raw!B22-raw!E22)/raw!B22</f>
        <v/>
      </c>
      <c r="D22" s="4">
        <f>raw!D22/B21</f>
        <v/>
      </c>
    </row>
    <row r="23">
      <c r="A23">
        <f>raw!A23</f>
        <v/>
      </c>
      <c r="B23" s="3">
        <f>B22+raw!C23-raw!D23</f>
        <v/>
      </c>
      <c r="C23" s="4">
        <f>(raw!B23-raw!E23)/raw!B23</f>
        <v/>
      </c>
      <c r="D23" s="4">
        <f>raw!D23/B22</f>
        <v/>
      </c>
    </row>
    <row r="24">
      <c r="A24">
        <f>raw!A24</f>
        <v/>
      </c>
      <c r="B24" s="3">
        <f>B23+raw!C24-raw!D24</f>
        <v/>
      </c>
      <c r="C24" s="4">
        <f>(raw!B24-raw!E24)/raw!B24</f>
        <v/>
      </c>
      <c r="D24" s="4">
        <f>raw!D24/B23</f>
        <v/>
      </c>
    </row>
    <row r="25">
      <c r="A25">
        <f>raw!A25</f>
        <v/>
      </c>
      <c r="B25" s="3">
        <f>B24+raw!C25-raw!D25</f>
        <v/>
      </c>
      <c r="C25" s="4">
        <f>(raw!B25-raw!E25)/raw!B25</f>
        <v/>
      </c>
      <c r="D25" s="4">
        <f>raw!D25/B24</f>
        <v/>
      </c>
    </row>
    <row r="26">
      <c r="A26">
        <f>raw!A26</f>
        <v/>
      </c>
      <c r="B26" s="3">
        <f>B25+raw!C26-raw!D26</f>
        <v/>
      </c>
      <c r="C26" s="4">
        <f>(raw!B26-raw!E26)/raw!B26</f>
        <v/>
      </c>
      <c r="D26" s="4">
        <f>raw!D26/B25</f>
        <v/>
      </c>
    </row>
    <row r="27">
      <c r="A27">
        <f>raw!A27</f>
        <v/>
      </c>
      <c r="B27" s="3">
        <f>B26+raw!C27-raw!D27</f>
        <v/>
      </c>
      <c r="C27" s="4">
        <f>(raw!B27-raw!E27)/raw!B27</f>
        <v/>
      </c>
      <c r="D27" s="4">
        <f>raw!D27/B26</f>
        <v/>
      </c>
    </row>
    <row r="28">
      <c r="A28">
        <f>raw!A28</f>
        <v/>
      </c>
      <c r="B28" s="3">
        <f>B27+raw!C28-raw!D28</f>
        <v/>
      </c>
      <c r="C28" s="4">
        <f>(raw!B28-raw!E28)/raw!B28</f>
        <v/>
      </c>
      <c r="D28" s="4">
        <f>raw!D28/B27</f>
        <v/>
      </c>
    </row>
    <row r="29">
      <c r="A29">
        <f>raw!A29</f>
        <v/>
      </c>
      <c r="B29" s="3">
        <f>B28+raw!C29-raw!D29</f>
        <v/>
      </c>
      <c r="C29" s="4">
        <f>(raw!B29-raw!E29)/raw!B29</f>
        <v/>
      </c>
      <c r="D29" s="4">
        <f>raw!D29/B28</f>
        <v/>
      </c>
    </row>
    <row r="30">
      <c r="A30">
        <f>raw!A30</f>
        <v/>
      </c>
      <c r="B30" s="3">
        <f>B29+raw!C30-raw!D30</f>
        <v/>
      </c>
      <c r="C30" s="4">
        <f>(raw!B30-raw!E30)/raw!B30</f>
        <v/>
      </c>
      <c r="D30" s="4">
        <f>raw!D30/B29</f>
        <v/>
      </c>
    </row>
    <row r="31">
      <c r="A31">
        <f>raw!A31</f>
        <v/>
      </c>
      <c r="B31" s="3">
        <f>B30+raw!C31-raw!D31</f>
        <v/>
      </c>
      <c r="C31" s="4">
        <f>(raw!B31-raw!E31)/raw!B31</f>
        <v/>
      </c>
      <c r="D31" s="4">
        <f>raw!D31/B30</f>
        <v/>
      </c>
    </row>
    <row r="32">
      <c r="A32">
        <f>raw!A32</f>
        <v/>
      </c>
      <c r="B32" s="3">
        <f>B31+raw!C32-raw!D32</f>
        <v/>
      </c>
      <c r="C32" s="4">
        <f>(raw!B32-raw!E32)/raw!B32</f>
        <v/>
      </c>
      <c r="D32" s="4">
        <f>raw!D32/B31</f>
        <v/>
      </c>
    </row>
    <row r="33">
      <c r="A33">
        <f>raw!A33</f>
        <v/>
      </c>
      <c r="B33" s="3">
        <f>B32+raw!C33-raw!D33</f>
        <v/>
      </c>
      <c r="C33" s="4">
        <f>(raw!B33-raw!E33)/raw!B33</f>
        <v/>
      </c>
      <c r="D33" s="4">
        <f>raw!D33/B32</f>
        <v/>
      </c>
    </row>
    <row r="34">
      <c r="A34">
        <f>raw!A34</f>
        <v/>
      </c>
      <c r="B34" s="3">
        <f>B33+raw!C34-raw!D34</f>
        <v/>
      </c>
      <c r="C34" s="4">
        <f>(raw!B34-raw!E34)/raw!B34</f>
        <v/>
      </c>
      <c r="D34" s="4">
        <f>raw!D34/B33</f>
        <v/>
      </c>
    </row>
    <row r="35">
      <c r="A35">
        <f>raw!A35</f>
        <v/>
      </c>
      <c r="B35" s="3">
        <f>B34+raw!C35-raw!D35</f>
        <v/>
      </c>
      <c r="C35" s="4">
        <f>(raw!B35-raw!E35)/raw!B35</f>
        <v/>
      </c>
      <c r="D35" s="4">
        <f>raw!D35/B34</f>
        <v/>
      </c>
    </row>
    <row r="36">
      <c r="A36">
        <f>raw!A36</f>
        <v/>
      </c>
      <c r="B36" s="3">
        <f>B35+raw!C36-raw!D36</f>
        <v/>
      </c>
      <c r="C36" s="4">
        <f>(raw!B36-raw!E36)/raw!B36</f>
        <v/>
      </c>
      <c r="D36" s="4">
        <f>raw!D36/B35</f>
        <v/>
      </c>
    </row>
    <row r="37">
      <c r="A37">
        <f>raw!A37</f>
        <v/>
      </c>
      <c r="B37" s="3">
        <f>B36+raw!C37-raw!D37</f>
        <v/>
      </c>
      <c r="C37" s="4">
        <f>(raw!B37-raw!E37)/raw!B37</f>
        <v/>
      </c>
      <c r="D37" s="4">
        <f>raw!D37/B36</f>
        <v/>
      </c>
    </row>
    <row r="40">
      <c r="A40" s="5" t="inlineStr">
        <is>
          <t>Metric</t>
        </is>
      </c>
      <c r="B40" s="5" t="inlineStr">
        <is>
          <t>Value</t>
        </is>
      </c>
    </row>
    <row r="41">
      <c r="A41" t="inlineStr">
        <is>
          <t>CAC (trailing 12m)</t>
        </is>
      </c>
      <c r="B41" s="2">
        <f>SUM(raw!F26:F37)/SUM(raw!C26:C37)</f>
        <v/>
      </c>
    </row>
    <row r="42">
      <c r="A42" t="inlineStr">
        <is>
          <t>ARPA</t>
        </is>
      </c>
      <c r="B42" s="2">
        <f>raw!B37/(120+SUM(raw!C2:C37)-SUM(raw!D2:D37))</f>
        <v/>
      </c>
    </row>
    <row r="43">
      <c r="A43" t="inlineStr">
        <is>
          <t>Avg gross margin (last 12m)</t>
        </is>
      </c>
      <c r="B43" s="4">
        <f>AVERAGE(C26:C37)</f>
        <v/>
      </c>
    </row>
    <row r="44">
      <c r="A44" t="inlineStr">
        <is>
          <t>Avg monthly churn (last 12m)</t>
        </is>
      </c>
      <c r="B44" s="4">
        <f>AVERAGE(D26:D37)</f>
        <v/>
      </c>
    </row>
    <row r="45">
      <c r="A45" t="inlineStr">
        <is>
          <t>LTV</t>
        </is>
      </c>
      <c r="B45" s="6">
        <f>B42*B43/B44</f>
        <v/>
      </c>
    </row>
    <row r="46">
      <c r="A46" t="inlineStr">
        <is>
          <t>LTV / CAC</t>
        </is>
      </c>
      <c r="B46" s="7">
        <f>B45/B41</f>
        <v/>
      </c>
    </row>
    <row r="47">
      <c r="A47" t="inlineStr">
        <is>
          <t>CAC payback (months)</t>
        </is>
      </c>
      <c r="B47" s="7">
        <f>B41/(B42*B43)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</cols>
  <sheetData>
    <row r="1">
      <c r="A1" s="8" t="inlineStr">
        <is>
          <t>DCF Model</t>
        </is>
      </c>
    </row>
    <row r="3">
      <c r="A3" s="9" t="inlineStr">
        <is>
          <t>Assumptions</t>
        </is>
      </c>
    </row>
    <row r="4">
      <c r="A4" t="inlineStr">
        <is>
          <t>Revenue (year 0)</t>
        </is>
      </c>
      <c r="B4" s="10">
        <f>SUM(raw!B26:B37)</f>
        <v/>
      </c>
    </row>
    <row r="5">
      <c r="A5" t="inlineStr">
        <is>
          <t>Discount rate</t>
        </is>
      </c>
      <c r="B5" s="11" t="n">
        <v>0.12</v>
      </c>
    </row>
    <row r="6">
      <c r="A6" t="inlineStr">
        <is>
          <t>Initial investment (year 0)</t>
        </is>
      </c>
      <c r="B6" s="10" t="n">
        <v>-5000000</v>
      </c>
    </row>
    <row r="8">
      <c r="A8" s="1" t="inlineStr">
        <is>
          <t>Year</t>
        </is>
      </c>
      <c r="B8" s="1" t="inlineStr">
        <is>
          <t>Growth</t>
        </is>
      </c>
      <c r="C8" s="1" t="inlineStr">
        <is>
          <t>FCF margin</t>
        </is>
      </c>
    </row>
    <row r="9">
      <c r="A9" t="inlineStr">
        <is>
          <t>Year 1</t>
        </is>
      </c>
      <c r="B9" s="11" t="n">
        <v>0.25</v>
      </c>
      <c r="C9" s="12" t="n">
        <v>0.15</v>
      </c>
    </row>
    <row r="10">
      <c r="A10" t="inlineStr">
        <is>
          <t>Year 2</t>
        </is>
      </c>
      <c r="B10" s="11" t="n">
        <v>0.21</v>
      </c>
      <c r="C10" s="12" t="n">
        <v>0.175</v>
      </c>
    </row>
    <row r="11">
      <c r="A11" t="inlineStr">
        <is>
          <t>Year 3</t>
        </is>
      </c>
      <c r="B11" s="11" t="n">
        <v>0.17</v>
      </c>
      <c r="C11" s="12" t="n">
        <v>0.2</v>
      </c>
    </row>
    <row r="12">
      <c r="A12" t="inlineStr">
        <is>
          <t>Year 4</t>
        </is>
      </c>
      <c r="B12" s="11" t="n">
        <v>0.13</v>
      </c>
      <c r="C12" s="12" t="n">
        <v>0.225</v>
      </c>
    </row>
    <row r="13">
      <c r="A13" t="inlineStr">
        <is>
          <t>Year 5</t>
        </is>
      </c>
      <c r="B13" s="11" t="n">
        <v>0.1</v>
      </c>
      <c r="C13" s="12" t="n">
        <v>0.25</v>
      </c>
    </row>
    <row r="15">
      <c r="A15" s="1" t="inlineStr">
        <is>
          <t>Year</t>
        </is>
      </c>
      <c r="B15" s="1" t="inlineStr">
        <is>
          <t>Revenue</t>
        </is>
      </c>
      <c r="C15" s="1" t="inlineStr">
        <is>
          <t>FCF</t>
        </is>
      </c>
    </row>
    <row r="16">
      <c r="A16" t="inlineStr">
        <is>
          <t>Year 0</t>
        </is>
      </c>
      <c r="B16" s="10">
        <f>B4</f>
        <v/>
      </c>
      <c r="C16" s="10">
        <f>B6</f>
        <v/>
      </c>
    </row>
    <row r="17">
      <c r="A17" t="inlineStr">
        <is>
          <t>Year 1</t>
        </is>
      </c>
      <c r="B17" s="10">
        <f>B16*(1+B9)</f>
        <v/>
      </c>
      <c r="C17" s="10">
        <f>B17*C9</f>
        <v/>
      </c>
    </row>
    <row r="18">
      <c r="A18" t="inlineStr">
        <is>
          <t>Year 2</t>
        </is>
      </c>
      <c r="B18" s="10">
        <f>B17*(1+B10)</f>
        <v/>
      </c>
      <c r="C18" s="10">
        <f>B18*C10</f>
        <v/>
      </c>
    </row>
    <row r="19">
      <c r="A19" t="inlineStr">
        <is>
          <t>Year 3</t>
        </is>
      </c>
      <c r="B19" s="10">
        <f>B18*(1+B11)</f>
        <v/>
      </c>
      <c r="C19" s="10">
        <f>B19*C11</f>
        <v/>
      </c>
    </row>
    <row r="20">
      <c r="A20" t="inlineStr">
        <is>
          <t>Year 4</t>
        </is>
      </c>
      <c r="B20" s="10">
        <f>B19*(1+B12)</f>
        <v/>
      </c>
      <c r="C20" s="10">
        <f>B20*C12</f>
        <v/>
      </c>
    </row>
    <row r="21">
      <c r="A21" t="inlineStr">
        <is>
          <t>Year 5</t>
        </is>
      </c>
      <c r="B21" s="10">
        <f>B20*(1+B13)</f>
        <v/>
      </c>
      <c r="C21" s="10">
        <f>B21*C13</f>
        <v/>
      </c>
    </row>
    <row r="23">
      <c r="A23" s="9" t="inlineStr">
        <is>
          <t>NPV</t>
        </is>
      </c>
      <c r="B23" s="13">
        <f>C16+NPV(B5,C17:C21)</f>
        <v/>
      </c>
    </row>
    <row r="24">
      <c r="A24" s="9" t="inlineStr">
        <is>
          <t>IRR</t>
        </is>
      </c>
      <c r="B24" s="14">
        <f>IRR(C16:C21)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Loan Amortization</t>
        </is>
      </c>
    </row>
    <row r="3">
      <c r="A3" t="inlineStr">
        <is>
          <t>Principal</t>
        </is>
      </c>
      <c r="B3" s="10" t="n">
        <v>2000000</v>
      </c>
    </row>
    <row r="4">
      <c r="A4" t="inlineStr">
        <is>
          <t>Annual interest rate</t>
        </is>
      </c>
      <c r="B4" s="11" t="n">
        <v>0.07000000000000001</v>
      </c>
    </row>
    <row r="5">
      <c r="A5" t="inlineStr">
        <is>
          <t>Monthly interest rate</t>
        </is>
      </c>
      <c r="B5" s="15">
        <f>B4/12</f>
        <v/>
      </c>
    </row>
    <row r="6">
      <c r="A6" t="inlineStr">
        <is>
          <t>Term (months)</t>
        </is>
      </c>
      <c r="B6" t="n">
        <v>60</v>
      </c>
    </row>
    <row r="7">
      <c r="A7" s="9" t="inlineStr">
        <is>
          <t>Monthly payment</t>
        </is>
      </c>
      <c r="B7" s="6">
        <f>B3*B5/(1-(1+B5)^-B6)</f>
        <v/>
      </c>
    </row>
    <row r="8">
      <c r="A8" s="9" t="inlineStr">
        <is>
          <t>Total interest</t>
        </is>
      </c>
      <c r="B8" s="6">
        <f>B7*B6-B3</f>
        <v/>
      </c>
    </row>
    <row r="10">
      <c r="A10" s="1" t="inlineStr">
        <is>
          <t>Month</t>
        </is>
      </c>
      <c r="B10" s="1" t="inlineStr">
        <is>
          <t>Beginning balance</t>
        </is>
      </c>
      <c r="C10" s="1" t="inlineStr">
        <is>
          <t>Payment</t>
        </is>
      </c>
      <c r="D10" s="1" t="inlineStr">
        <is>
          <t>Interest</t>
        </is>
      </c>
      <c r="E10" s="1" t="inlineStr">
        <is>
          <t>Principal</t>
        </is>
      </c>
      <c r="F10" s="1" t="inlineStr">
        <is>
          <t>Ending balance</t>
        </is>
      </c>
    </row>
    <row r="11">
      <c r="A11" t="n">
        <v>1</v>
      </c>
      <c r="B11" s="2">
        <f>$B$3</f>
        <v/>
      </c>
      <c r="C11" s="2">
        <f>$B$7</f>
        <v/>
      </c>
      <c r="D11" s="2">
        <f>B11*$B$5</f>
        <v/>
      </c>
      <c r="E11" s="2">
        <f>C11-D11</f>
        <v/>
      </c>
      <c r="F11" s="2">
        <f>B11-E11</f>
        <v/>
      </c>
    </row>
    <row r="12">
      <c r="A12" t="n">
        <v>2</v>
      </c>
      <c r="B12" s="2">
        <f>F11</f>
        <v/>
      </c>
      <c r="C12" s="2">
        <f>$B$7</f>
        <v/>
      </c>
      <c r="D12" s="2">
        <f>B12*$B$5</f>
        <v/>
      </c>
      <c r="E12" s="2">
        <f>C12-D12</f>
        <v/>
      </c>
      <c r="F12" s="2">
        <f>B12-E12</f>
        <v/>
      </c>
    </row>
    <row r="13">
      <c r="A13" t="n">
        <v>3</v>
      </c>
      <c r="B13" s="2">
        <f>F12</f>
        <v/>
      </c>
      <c r="C13" s="2">
        <f>$B$7</f>
        <v/>
      </c>
      <c r="D13" s="2">
        <f>B13*$B$5</f>
        <v/>
      </c>
      <c r="E13" s="2">
        <f>C13-D13</f>
        <v/>
      </c>
      <c r="F13" s="2">
        <f>B13-E13</f>
        <v/>
      </c>
    </row>
    <row r="14">
      <c r="A14" t="n">
        <v>4</v>
      </c>
      <c r="B14" s="2">
        <f>F13</f>
        <v/>
      </c>
      <c r="C14" s="2">
        <f>$B$7</f>
        <v/>
      </c>
      <c r="D14" s="2">
        <f>B14*$B$5</f>
        <v/>
      </c>
      <c r="E14" s="2">
        <f>C14-D14</f>
        <v/>
      </c>
      <c r="F14" s="2">
        <f>B14-E14</f>
        <v/>
      </c>
    </row>
    <row r="15">
      <c r="A15" t="n">
        <v>5</v>
      </c>
      <c r="B15" s="2">
        <f>F14</f>
        <v/>
      </c>
      <c r="C15" s="2">
        <f>$B$7</f>
        <v/>
      </c>
      <c r="D15" s="2">
        <f>B15*$B$5</f>
        <v/>
      </c>
      <c r="E15" s="2">
        <f>C15-D15</f>
        <v/>
      </c>
      <c r="F15" s="2">
        <f>B15-E15</f>
        <v/>
      </c>
    </row>
    <row r="16">
      <c r="A16" t="n">
        <v>6</v>
      </c>
      <c r="B16" s="2">
        <f>F15</f>
        <v/>
      </c>
      <c r="C16" s="2">
        <f>$B$7</f>
        <v/>
      </c>
      <c r="D16" s="2">
        <f>B16*$B$5</f>
        <v/>
      </c>
      <c r="E16" s="2">
        <f>C16-D16</f>
        <v/>
      </c>
      <c r="F16" s="2">
        <f>B16-E16</f>
        <v/>
      </c>
    </row>
    <row r="17">
      <c r="A17" t="n">
        <v>7</v>
      </c>
      <c r="B17" s="2">
        <f>F16</f>
        <v/>
      </c>
      <c r="C17" s="2">
        <f>$B$7</f>
        <v/>
      </c>
      <c r="D17" s="2">
        <f>B17*$B$5</f>
        <v/>
      </c>
      <c r="E17" s="2">
        <f>C17-D17</f>
        <v/>
      </c>
      <c r="F17" s="2">
        <f>B17-E17</f>
        <v/>
      </c>
    </row>
    <row r="18">
      <c r="A18" t="n">
        <v>8</v>
      </c>
      <c r="B18" s="2">
        <f>F17</f>
        <v/>
      </c>
      <c r="C18" s="2">
        <f>$B$7</f>
        <v/>
      </c>
      <c r="D18" s="2">
        <f>B18*$B$5</f>
        <v/>
      </c>
      <c r="E18" s="2">
        <f>C18-D18</f>
        <v/>
      </c>
      <c r="F18" s="2">
        <f>B18-E18</f>
        <v/>
      </c>
    </row>
    <row r="19">
      <c r="A19" t="n">
        <v>9</v>
      </c>
      <c r="B19" s="2">
        <f>F18</f>
        <v/>
      </c>
      <c r="C19" s="2">
        <f>$B$7</f>
        <v/>
      </c>
      <c r="D19" s="2">
        <f>B19*$B$5</f>
        <v/>
      </c>
      <c r="E19" s="2">
        <f>C19-D19</f>
        <v/>
      </c>
      <c r="F19" s="2">
        <f>B19-E19</f>
        <v/>
      </c>
    </row>
    <row r="20">
      <c r="A20" t="n">
        <v>10</v>
      </c>
      <c r="B20" s="2">
        <f>F19</f>
        <v/>
      </c>
      <c r="C20" s="2">
        <f>$B$7</f>
        <v/>
      </c>
      <c r="D20" s="2">
        <f>B20*$B$5</f>
        <v/>
      </c>
      <c r="E20" s="2">
        <f>C20-D20</f>
        <v/>
      </c>
      <c r="F20" s="2">
        <f>B20-E20</f>
        <v/>
      </c>
    </row>
    <row r="21">
      <c r="A21" t="n">
        <v>11</v>
      </c>
      <c r="B21" s="2">
        <f>F20</f>
        <v/>
      </c>
      <c r="C21" s="2">
        <f>$B$7</f>
        <v/>
      </c>
      <c r="D21" s="2">
        <f>B21*$B$5</f>
        <v/>
      </c>
      <c r="E21" s="2">
        <f>C21-D21</f>
        <v/>
      </c>
      <c r="F21" s="2">
        <f>B21-E21</f>
        <v/>
      </c>
    </row>
    <row r="22">
      <c r="A22" t="n">
        <v>12</v>
      </c>
      <c r="B22" s="2">
        <f>F21</f>
        <v/>
      </c>
      <c r="C22" s="2">
        <f>$B$7</f>
        <v/>
      </c>
      <c r="D22" s="2">
        <f>B22*$B$5</f>
        <v/>
      </c>
      <c r="E22" s="2">
        <f>C22-D22</f>
        <v/>
      </c>
      <c r="F22" s="2">
        <f>B22-E22</f>
        <v/>
      </c>
    </row>
    <row r="23">
      <c r="A23" t="n">
        <v>13</v>
      </c>
      <c r="B23" s="2">
        <f>F22</f>
        <v/>
      </c>
      <c r="C23" s="2">
        <f>$B$7</f>
        <v/>
      </c>
      <c r="D23" s="2">
        <f>B23*$B$5</f>
        <v/>
      </c>
      <c r="E23" s="2">
        <f>C23-D23</f>
        <v/>
      </c>
      <c r="F23" s="2">
        <f>B23-E23</f>
        <v/>
      </c>
    </row>
    <row r="24">
      <c r="A24" t="n">
        <v>14</v>
      </c>
      <c r="B24" s="2">
        <f>F23</f>
        <v/>
      </c>
      <c r="C24" s="2">
        <f>$B$7</f>
        <v/>
      </c>
      <c r="D24" s="2">
        <f>B24*$B$5</f>
        <v/>
      </c>
      <c r="E24" s="2">
        <f>C24-D24</f>
        <v/>
      </c>
      <c r="F24" s="2">
        <f>B24-E24</f>
        <v/>
      </c>
    </row>
    <row r="25">
      <c r="A25" t="n">
        <v>15</v>
      </c>
      <c r="B25" s="2">
        <f>F24</f>
        <v/>
      </c>
      <c r="C25" s="2">
        <f>$B$7</f>
        <v/>
      </c>
      <c r="D25" s="2">
        <f>B25*$B$5</f>
        <v/>
      </c>
      <c r="E25" s="2">
        <f>C25-D25</f>
        <v/>
      </c>
      <c r="F25" s="2">
        <f>B25-E25</f>
        <v/>
      </c>
    </row>
    <row r="26">
      <c r="A26" t="n">
        <v>16</v>
      </c>
      <c r="B26" s="2">
        <f>F25</f>
        <v/>
      </c>
      <c r="C26" s="2">
        <f>$B$7</f>
        <v/>
      </c>
      <c r="D26" s="2">
        <f>B26*$B$5</f>
        <v/>
      </c>
      <c r="E26" s="2">
        <f>C26-D26</f>
        <v/>
      </c>
      <c r="F26" s="2">
        <f>B26-E26</f>
        <v/>
      </c>
    </row>
    <row r="27">
      <c r="A27" t="n">
        <v>17</v>
      </c>
      <c r="B27" s="2">
        <f>F26</f>
        <v/>
      </c>
      <c r="C27" s="2">
        <f>$B$7</f>
        <v/>
      </c>
      <c r="D27" s="2">
        <f>B27*$B$5</f>
        <v/>
      </c>
      <c r="E27" s="2">
        <f>C27-D27</f>
        <v/>
      </c>
      <c r="F27" s="2">
        <f>B27-E27</f>
        <v/>
      </c>
    </row>
    <row r="28">
      <c r="A28" t="n">
        <v>18</v>
      </c>
      <c r="B28" s="2">
        <f>F27</f>
        <v/>
      </c>
      <c r="C28" s="2">
        <f>$B$7</f>
        <v/>
      </c>
      <c r="D28" s="2">
        <f>B28*$B$5</f>
        <v/>
      </c>
      <c r="E28" s="2">
        <f>C28-D28</f>
        <v/>
      </c>
      <c r="F28" s="2">
        <f>B28-E28</f>
        <v/>
      </c>
    </row>
    <row r="29">
      <c r="A29" t="n">
        <v>19</v>
      </c>
      <c r="B29" s="2">
        <f>F28</f>
        <v/>
      </c>
      <c r="C29" s="2">
        <f>$B$7</f>
        <v/>
      </c>
      <c r="D29" s="2">
        <f>B29*$B$5</f>
        <v/>
      </c>
      <c r="E29" s="2">
        <f>C29-D29</f>
        <v/>
      </c>
      <c r="F29" s="2">
        <f>B29-E29</f>
        <v/>
      </c>
    </row>
    <row r="30">
      <c r="A30" t="n">
        <v>20</v>
      </c>
      <c r="B30" s="2">
        <f>F29</f>
        <v/>
      </c>
      <c r="C30" s="2">
        <f>$B$7</f>
        <v/>
      </c>
      <c r="D30" s="2">
        <f>B30*$B$5</f>
        <v/>
      </c>
      <c r="E30" s="2">
        <f>C30-D30</f>
        <v/>
      </c>
      <c r="F30" s="2">
        <f>B30-E30</f>
        <v/>
      </c>
    </row>
    <row r="31">
      <c r="A31" t="n">
        <v>21</v>
      </c>
      <c r="B31" s="2">
        <f>F30</f>
        <v/>
      </c>
      <c r="C31" s="2">
        <f>$B$7</f>
        <v/>
      </c>
      <c r="D31" s="2">
        <f>B31*$B$5</f>
        <v/>
      </c>
      <c r="E31" s="2">
        <f>C31-D31</f>
        <v/>
      </c>
      <c r="F31" s="2">
        <f>B31-E31</f>
        <v/>
      </c>
    </row>
    <row r="32">
      <c r="A32" t="n">
        <v>22</v>
      </c>
      <c r="B32" s="2">
        <f>F31</f>
        <v/>
      </c>
      <c r="C32" s="2">
        <f>$B$7</f>
        <v/>
      </c>
      <c r="D32" s="2">
        <f>B32*$B$5</f>
        <v/>
      </c>
      <c r="E32" s="2">
        <f>C32-D32</f>
        <v/>
      </c>
      <c r="F32" s="2">
        <f>B32-E32</f>
        <v/>
      </c>
    </row>
    <row r="33">
      <c r="A33" t="n">
        <v>23</v>
      </c>
      <c r="B33" s="2">
        <f>F32</f>
        <v/>
      </c>
      <c r="C33" s="2">
        <f>$B$7</f>
        <v/>
      </c>
      <c r="D33" s="2">
        <f>B33*$B$5</f>
        <v/>
      </c>
      <c r="E33" s="2">
        <f>C33-D33</f>
        <v/>
      </c>
      <c r="F33" s="2">
        <f>B33-E33</f>
        <v/>
      </c>
    </row>
    <row r="34">
      <c r="A34" t="n">
        <v>24</v>
      </c>
      <c r="B34" s="2">
        <f>F33</f>
        <v/>
      </c>
      <c r="C34" s="2">
        <f>$B$7</f>
        <v/>
      </c>
      <c r="D34" s="2">
        <f>B34*$B$5</f>
        <v/>
      </c>
      <c r="E34" s="2">
        <f>C34-D34</f>
        <v/>
      </c>
      <c r="F34" s="2">
        <f>B34-E34</f>
        <v/>
      </c>
    </row>
    <row r="35">
      <c r="A35" t="n">
        <v>25</v>
      </c>
      <c r="B35" s="2">
        <f>F34</f>
        <v/>
      </c>
      <c r="C35" s="2">
        <f>$B$7</f>
        <v/>
      </c>
      <c r="D35" s="2">
        <f>B35*$B$5</f>
        <v/>
      </c>
      <c r="E35" s="2">
        <f>C35-D35</f>
        <v/>
      </c>
      <c r="F35" s="2">
        <f>B35-E35</f>
        <v/>
      </c>
    </row>
    <row r="36">
      <c r="A36" t="n">
        <v>26</v>
      </c>
      <c r="B36" s="2">
        <f>F35</f>
        <v/>
      </c>
      <c r="C36" s="2">
        <f>$B$7</f>
        <v/>
      </c>
      <c r="D36" s="2">
        <f>B36*$B$5</f>
        <v/>
      </c>
      <c r="E36" s="2">
        <f>C36-D36</f>
        <v/>
      </c>
      <c r="F36" s="2">
        <f>B36-E36</f>
        <v/>
      </c>
    </row>
    <row r="37">
      <c r="A37" t="n">
        <v>27</v>
      </c>
      <c r="B37" s="2">
        <f>F36</f>
        <v/>
      </c>
      <c r="C37" s="2">
        <f>$B$7</f>
        <v/>
      </c>
      <c r="D37" s="2">
        <f>B37*$B$5</f>
        <v/>
      </c>
      <c r="E37" s="2">
        <f>C37-D37</f>
        <v/>
      </c>
      <c r="F37" s="2">
        <f>B37-E37</f>
        <v/>
      </c>
    </row>
    <row r="38">
      <c r="A38" t="n">
        <v>28</v>
      </c>
      <c r="B38" s="2">
        <f>F37</f>
        <v/>
      </c>
      <c r="C38" s="2">
        <f>$B$7</f>
        <v/>
      </c>
      <c r="D38" s="2">
        <f>B38*$B$5</f>
        <v/>
      </c>
      <c r="E38" s="2">
        <f>C38-D38</f>
        <v/>
      </c>
      <c r="F38" s="2">
        <f>B38-E38</f>
        <v/>
      </c>
    </row>
    <row r="39">
      <c r="A39" t="n">
        <v>29</v>
      </c>
      <c r="B39" s="2">
        <f>F38</f>
        <v/>
      </c>
      <c r="C39" s="2">
        <f>$B$7</f>
        <v/>
      </c>
      <c r="D39" s="2">
        <f>B39*$B$5</f>
        <v/>
      </c>
      <c r="E39" s="2">
        <f>C39-D39</f>
        <v/>
      </c>
      <c r="F39" s="2">
        <f>B39-E39</f>
        <v/>
      </c>
    </row>
    <row r="40">
      <c r="A40" t="n">
        <v>30</v>
      </c>
      <c r="B40" s="2">
        <f>F39</f>
        <v/>
      </c>
      <c r="C40" s="2">
        <f>$B$7</f>
        <v/>
      </c>
      <c r="D40" s="2">
        <f>B40*$B$5</f>
        <v/>
      </c>
      <c r="E40" s="2">
        <f>C40-D40</f>
        <v/>
      </c>
      <c r="F40" s="2">
        <f>B40-E40</f>
        <v/>
      </c>
    </row>
    <row r="41">
      <c r="A41" t="n">
        <v>31</v>
      </c>
      <c r="B41" s="2">
        <f>F40</f>
        <v/>
      </c>
      <c r="C41" s="2">
        <f>$B$7</f>
        <v/>
      </c>
      <c r="D41" s="2">
        <f>B41*$B$5</f>
        <v/>
      </c>
      <c r="E41" s="2">
        <f>C41-D41</f>
        <v/>
      </c>
      <c r="F41" s="2">
        <f>B41-E41</f>
        <v/>
      </c>
    </row>
    <row r="42">
      <c r="A42" t="n">
        <v>32</v>
      </c>
      <c r="B42" s="2">
        <f>F41</f>
        <v/>
      </c>
      <c r="C42" s="2">
        <f>$B$7</f>
        <v/>
      </c>
      <c r="D42" s="2">
        <f>B42*$B$5</f>
        <v/>
      </c>
      <c r="E42" s="2">
        <f>C42-D42</f>
        <v/>
      </c>
      <c r="F42" s="2">
        <f>B42-E42</f>
        <v/>
      </c>
    </row>
    <row r="43">
      <c r="A43" t="n">
        <v>33</v>
      </c>
      <c r="B43" s="2">
        <f>F42</f>
        <v/>
      </c>
      <c r="C43" s="2">
        <f>$B$7</f>
        <v/>
      </c>
      <c r="D43" s="2">
        <f>B43*$B$5</f>
        <v/>
      </c>
      <c r="E43" s="2">
        <f>C43-D43</f>
        <v/>
      </c>
      <c r="F43" s="2">
        <f>B43-E43</f>
        <v/>
      </c>
    </row>
    <row r="44">
      <c r="A44" t="n">
        <v>34</v>
      </c>
      <c r="B44" s="2">
        <f>F43</f>
        <v/>
      </c>
      <c r="C44" s="2">
        <f>$B$7</f>
        <v/>
      </c>
      <c r="D44" s="2">
        <f>B44*$B$5</f>
        <v/>
      </c>
      <c r="E44" s="2">
        <f>C44-D44</f>
        <v/>
      </c>
      <c r="F44" s="2">
        <f>B44-E44</f>
        <v/>
      </c>
    </row>
    <row r="45">
      <c r="A45" t="n">
        <v>35</v>
      </c>
      <c r="B45" s="2">
        <f>F44</f>
        <v/>
      </c>
      <c r="C45" s="2">
        <f>$B$7</f>
        <v/>
      </c>
      <c r="D45" s="2">
        <f>B45*$B$5</f>
        <v/>
      </c>
      <c r="E45" s="2">
        <f>C45-D45</f>
        <v/>
      </c>
      <c r="F45" s="2">
        <f>B45-E45</f>
        <v/>
      </c>
    </row>
    <row r="46">
      <c r="A46" t="n">
        <v>36</v>
      </c>
      <c r="B46" s="2">
        <f>F45</f>
        <v/>
      </c>
      <c r="C46" s="2">
        <f>$B$7</f>
        <v/>
      </c>
      <c r="D46" s="2">
        <f>B46*$B$5</f>
        <v/>
      </c>
      <c r="E46" s="2">
        <f>C46-D46</f>
        <v/>
      </c>
      <c r="F46" s="2">
        <f>B46-E46</f>
        <v/>
      </c>
    </row>
    <row r="47">
      <c r="A47" t="n">
        <v>37</v>
      </c>
      <c r="B47" s="2">
        <f>F46</f>
        <v/>
      </c>
      <c r="C47" s="2">
        <f>$B$7</f>
        <v/>
      </c>
      <c r="D47" s="2">
        <f>B47*$B$5</f>
        <v/>
      </c>
      <c r="E47" s="2">
        <f>C47-D47</f>
        <v/>
      </c>
      <c r="F47" s="2">
        <f>B47-E47</f>
        <v/>
      </c>
    </row>
    <row r="48">
      <c r="A48" t="n">
        <v>38</v>
      </c>
      <c r="B48" s="2">
        <f>F47</f>
        <v/>
      </c>
      <c r="C48" s="2">
        <f>$B$7</f>
        <v/>
      </c>
      <c r="D48" s="2">
        <f>B48*$B$5</f>
        <v/>
      </c>
      <c r="E48" s="2">
        <f>C48-D48</f>
        <v/>
      </c>
      <c r="F48" s="2">
        <f>B48-E48</f>
        <v/>
      </c>
    </row>
    <row r="49">
      <c r="A49" t="n">
        <v>39</v>
      </c>
      <c r="B49" s="2">
        <f>F48</f>
        <v/>
      </c>
      <c r="C49" s="2">
        <f>$B$7</f>
        <v/>
      </c>
      <c r="D49" s="2">
        <f>B49*$B$5</f>
        <v/>
      </c>
      <c r="E49" s="2">
        <f>C49-D49</f>
        <v/>
      </c>
      <c r="F49" s="2">
        <f>B49-E49</f>
        <v/>
      </c>
    </row>
    <row r="50">
      <c r="A50" t="n">
        <v>40</v>
      </c>
      <c r="B50" s="2">
        <f>F49</f>
        <v/>
      </c>
      <c r="C50" s="2">
        <f>$B$7</f>
        <v/>
      </c>
      <c r="D50" s="2">
        <f>B50*$B$5</f>
        <v/>
      </c>
      <c r="E50" s="2">
        <f>C50-D50</f>
        <v/>
      </c>
      <c r="F50" s="2">
        <f>B50-E50</f>
        <v/>
      </c>
    </row>
    <row r="51">
      <c r="A51" t="n">
        <v>41</v>
      </c>
      <c r="B51" s="2">
        <f>F50</f>
        <v/>
      </c>
      <c r="C51" s="2">
        <f>$B$7</f>
        <v/>
      </c>
      <c r="D51" s="2">
        <f>B51*$B$5</f>
        <v/>
      </c>
      <c r="E51" s="2">
        <f>C51-D51</f>
        <v/>
      </c>
      <c r="F51" s="2">
        <f>B51-E51</f>
        <v/>
      </c>
    </row>
    <row r="52">
      <c r="A52" t="n">
        <v>42</v>
      </c>
      <c r="B52" s="2">
        <f>F51</f>
        <v/>
      </c>
      <c r="C52" s="2">
        <f>$B$7</f>
        <v/>
      </c>
      <c r="D52" s="2">
        <f>B52*$B$5</f>
        <v/>
      </c>
      <c r="E52" s="2">
        <f>C52-D52</f>
        <v/>
      </c>
      <c r="F52" s="2">
        <f>B52-E52</f>
        <v/>
      </c>
    </row>
    <row r="53">
      <c r="A53" t="n">
        <v>43</v>
      </c>
      <c r="B53" s="2">
        <f>F52</f>
        <v/>
      </c>
      <c r="C53" s="2">
        <f>$B$7</f>
        <v/>
      </c>
      <c r="D53" s="2">
        <f>B53*$B$5</f>
        <v/>
      </c>
      <c r="E53" s="2">
        <f>C53-D53</f>
        <v/>
      </c>
      <c r="F53" s="2">
        <f>B53-E53</f>
        <v/>
      </c>
    </row>
    <row r="54">
      <c r="A54" t="n">
        <v>44</v>
      </c>
      <c r="B54" s="2">
        <f>F53</f>
        <v/>
      </c>
      <c r="C54" s="2">
        <f>$B$7</f>
        <v/>
      </c>
      <c r="D54" s="2">
        <f>B54*$B$5</f>
        <v/>
      </c>
      <c r="E54" s="2">
        <f>C54-D54</f>
        <v/>
      </c>
      <c r="F54" s="2">
        <f>B54-E54</f>
        <v/>
      </c>
    </row>
    <row r="55">
      <c r="A55" t="n">
        <v>45</v>
      </c>
      <c r="B55" s="2">
        <f>F54</f>
        <v/>
      </c>
      <c r="C55" s="2">
        <f>$B$7</f>
        <v/>
      </c>
      <c r="D55" s="2">
        <f>B55*$B$5</f>
        <v/>
      </c>
      <c r="E55" s="2">
        <f>C55-D55</f>
        <v/>
      </c>
      <c r="F55" s="2">
        <f>B55-E55</f>
        <v/>
      </c>
    </row>
    <row r="56">
      <c r="A56" t="n">
        <v>46</v>
      </c>
      <c r="B56" s="2">
        <f>F55</f>
        <v/>
      </c>
      <c r="C56" s="2">
        <f>$B$7</f>
        <v/>
      </c>
      <c r="D56" s="2">
        <f>B56*$B$5</f>
        <v/>
      </c>
      <c r="E56" s="2">
        <f>C56-D56</f>
        <v/>
      </c>
      <c r="F56" s="2">
        <f>B56-E56</f>
        <v/>
      </c>
    </row>
    <row r="57">
      <c r="A57" t="n">
        <v>47</v>
      </c>
      <c r="B57" s="2">
        <f>F56</f>
        <v/>
      </c>
      <c r="C57" s="2">
        <f>$B$7</f>
        <v/>
      </c>
      <c r="D57" s="2">
        <f>B57*$B$5</f>
        <v/>
      </c>
      <c r="E57" s="2">
        <f>C57-D57</f>
        <v/>
      </c>
      <c r="F57" s="2">
        <f>B57-E57</f>
        <v/>
      </c>
    </row>
    <row r="58">
      <c r="A58" t="n">
        <v>48</v>
      </c>
      <c r="B58" s="2">
        <f>F57</f>
        <v/>
      </c>
      <c r="C58" s="2">
        <f>$B$7</f>
        <v/>
      </c>
      <c r="D58" s="2">
        <f>B58*$B$5</f>
        <v/>
      </c>
      <c r="E58" s="2">
        <f>C58-D58</f>
        <v/>
      </c>
      <c r="F58" s="2">
        <f>B58-E58</f>
        <v/>
      </c>
    </row>
    <row r="59">
      <c r="A59" t="n">
        <v>49</v>
      </c>
      <c r="B59" s="2">
        <f>F58</f>
        <v/>
      </c>
      <c r="C59" s="2">
        <f>$B$7</f>
        <v/>
      </c>
      <c r="D59" s="2">
        <f>B59*$B$5</f>
        <v/>
      </c>
      <c r="E59" s="2">
        <f>C59-D59</f>
        <v/>
      </c>
      <c r="F59" s="2">
        <f>B59-E59</f>
        <v/>
      </c>
    </row>
    <row r="60">
      <c r="A60" t="n">
        <v>50</v>
      </c>
      <c r="B60" s="2">
        <f>F59</f>
        <v/>
      </c>
      <c r="C60" s="2">
        <f>$B$7</f>
        <v/>
      </c>
      <c r="D60" s="2">
        <f>B60*$B$5</f>
        <v/>
      </c>
      <c r="E60" s="2">
        <f>C60-D60</f>
        <v/>
      </c>
      <c r="F60" s="2">
        <f>B60-E60</f>
        <v/>
      </c>
    </row>
    <row r="61">
      <c r="A61" t="n">
        <v>51</v>
      </c>
      <c r="B61" s="2">
        <f>F60</f>
        <v/>
      </c>
      <c r="C61" s="2">
        <f>$B$7</f>
        <v/>
      </c>
      <c r="D61" s="2">
        <f>B61*$B$5</f>
        <v/>
      </c>
      <c r="E61" s="2">
        <f>C61-D61</f>
        <v/>
      </c>
      <c r="F61" s="2">
        <f>B61-E61</f>
        <v/>
      </c>
    </row>
    <row r="62">
      <c r="A62" t="n">
        <v>52</v>
      </c>
      <c r="B62" s="2">
        <f>F61</f>
        <v/>
      </c>
      <c r="C62" s="2">
        <f>$B$7</f>
        <v/>
      </c>
      <c r="D62" s="2">
        <f>B62*$B$5</f>
        <v/>
      </c>
      <c r="E62" s="2">
        <f>C62-D62</f>
        <v/>
      </c>
      <c r="F62" s="2">
        <f>B62-E62</f>
        <v/>
      </c>
    </row>
    <row r="63">
      <c r="A63" t="n">
        <v>53</v>
      </c>
      <c r="B63" s="2">
        <f>F62</f>
        <v/>
      </c>
      <c r="C63" s="2">
        <f>$B$7</f>
        <v/>
      </c>
      <c r="D63" s="2">
        <f>B63*$B$5</f>
        <v/>
      </c>
      <c r="E63" s="2">
        <f>C63-D63</f>
        <v/>
      </c>
      <c r="F63" s="2">
        <f>B63-E63</f>
        <v/>
      </c>
    </row>
    <row r="64">
      <c r="A64" t="n">
        <v>54</v>
      </c>
      <c r="B64" s="2">
        <f>F63</f>
        <v/>
      </c>
      <c r="C64" s="2">
        <f>$B$7</f>
        <v/>
      </c>
      <c r="D64" s="2">
        <f>B64*$B$5</f>
        <v/>
      </c>
      <c r="E64" s="2">
        <f>C64-D64</f>
        <v/>
      </c>
      <c r="F64" s="2">
        <f>B64-E64</f>
        <v/>
      </c>
    </row>
    <row r="65">
      <c r="A65" t="n">
        <v>55</v>
      </c>
      <c r="B65" s="2">
        <f>F64</f>
        <v/>
      </c>
      <c r="C65" s="2">
        <f>$B$7</f>
        <v/>
      </c>
      <c r="D65" s="2">
        <f>B65*$B$5</f>
        <v/>
      </c>
      <c r="E65" s="2">
        <f>C65-D65</f>
        <v/>
      </c>
      <c r="F65" s="2">
        <f>B65-E65</f>
        <v/>
      </c>
    </row>
    <row r="66">
      <c r="A66" t="n">
        <v>56</v>
      </c>
      <c r="B66" s="2">
        <f>F65</f>
        <v/>
      </c>
      <c r="C66" s="2">
        <f>$B$7</f>
        <v/>
      </c>
      <c r="D66" s="2">
        <f>B66*$B$5</f>
        <v/>
      </c>
      <c r="E66" s="2">
        <f>C66-D66</f>
        <v/>
      </c>
      <c r="F66" s="2">
        <f>B66-E66</f>
        <v/>
      </c>
    </row>
    <row r="67">
      <c r="A67" t="n">
        <v>57</v>
      </c>
      <c r="B67" s="2">
        <f>F66</f>
        <v/>
      </c>
      <c r="C67" s="2">
        <f>$B$7</f>
        <v/>
      </c>
      <c r="D67" s="2">
        <f>B67*$B$5</f>
        <v/>
      </c>
      <c r="E67" s="2">
        <f>C67-D67</f>
        <v/>
      </c>
      <c r="F67" s="2">
        <f>B67-E67</f>
        <v/>
      </c>
    </row>
    <row r="68">
      <c r="A68" t="n">
        <v>58</v>
      </c>
      <c r="B68" s="2">
        <f>F67</f>
        <v/>
      </c>
      <c r="C68" s="2">
        <f>$B$7</f>
        <v/>
      </c>
      <c r="D68" s="2">
        <f>B68*$B$5</f>
        <v/>
      </c>
      <c r="E68" s="2">
        <f>C68-D68</f>
        <v/>
      </c>
      <c r="F68" s="2">
        <f>B68-E68</f>
        <v/>
      </c>
    </row>
    <row r="69">
      <c r="A69" t="n">
        <v>59</v>
      </c>
      <c r="B69" s="2">
        <f>F68</f>
        <v/>
      </c>
      <c r="C69" s="2">
        <f>$B$7</f>
        <v/>
      </c>
      <c r="D69" s="2">
        <f>B69*$B$5</f>
        <v/>
      </c>
      <c r="E69" s="2">
        <f>C69-D69</f>
        <v/>
      </c>
      <c r="F69" s="2">
        <f>B69-E69</f>
        <v/>
      </c>
    </row>
    <row r="70">
      <c r="A70" t="n">
        <v>60</v>
      </c>
      <c r="B70" s="2">
        <f>F69</f>
        <v/>
      </c>
      <c r="C70" s="2">
        <f>$B$7</f>
        <v/>
      </c>
      <c r="D70" s="2">
        <f>B70*$B$5</f>
        <v/>
      </c>
      <c r="E70" s="2">
        <f>C70-D70</f>
        <v/>
      </c>
      <c r="F70" s="2">
        <f>B70-E70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2026-09-10T18:10:54Z</dcterms:created>
  <dcterms:modified xmlns:dcterms="http://purl.org/dc/terms/" xmlns:xsi="http://www.w3.org/2001/XMLSchema-instance" xsi:type="dcterms:W3CDTF">2026-09-10T18:10:54Z</dcterms:modified>
</cp:coreProperties>
</file>