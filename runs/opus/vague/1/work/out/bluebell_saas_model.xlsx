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Input_Data" sheetId="3" state="visible" r:id="rId3"/>
    <sheet xmlns:r="http://schemas.openxmlformats.org/officeDocument/2006/relationships" name="Monthly_Metrics" sheetId="4" state="visible" r:id="rId4"/>
    <sheet xmlns:r="http://schemas.openxmlformats.org/officeDocument/2006/relationships" name="Quarterly" sheetId="5" state="visible" r:id="rId5"/>
    <sheet xmlns:r="http://schemas.openxmlformats.org/officeDocument/2006/relationships" name="Unit_Economics" sheetId="6" state="visible" r:id="rId6"/>
    <sheet xmlns:r="http://schemas.openxmlformats.org/officeDocument/2006/relationships" name="Board_Recon" sheetId="7" state="visible" r:id="rId7"/>
    <sheet xmlns:r="http://schemas.openxmlformats.org/officeDocument/2006/relationships" name="Projec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0;[Red](#,##0.00)"/>
    <numFmt numFmtId="166" formatCode="#,##0;[Red](#,##0)"/>
  </numFmts>
  <fonts count="7">
    <font>
      <name val="Calibri"/>
      <family val="2"/>
      <color theme="1"/>
      <sz val="11"/>
      <scheme val="minor"/>
    </font>
    <font>
      <b val="1"/>
      <color rgb="001F2A44"/>
      <sz val="14"/>
    </font>
    <font>
      <i val="1"/>
      <color rgb="0052514E"/>
      <sz val="10"/>
    </font>
    <font>
      <b val="1"/>
      <color rgb="001F2A44"/>
      <sz val="10"/>
    </font>
    <font>
      <color rgb="000B4EA2"/>
    </font>
    <font/>
    <font>
      <b val="1"/>
      <color rgb="001F2A44"/>
    </font>
  </fonts>
  <fills count="6">
    <fill>
      <patternFill/>
    </fill>
    <fill>
      <patternFill patternType="gray125"/>
    </fill>
    <fill>
      <patternFill patternType="solid">
        <fgColor rgb="00E8EDF5"/>
      </patternFill>
    </fill>
    <fill>
      <patternFill patternType="solid">
        <fgColor rgb="00F7F9FC"/>
      </patternFill>
    </fill>
    <fill>
      <patternFill patternType="solid">
        <fgColor rgb="00E6F6EF"/>
      </patternFill>
    </fill>
    <fill>
      <patternFill patternType="solid">
        <fgColor rgb="00FDE7E7"/>
      </patternFill>
    </fill>
  </fills>
  <borders count="2">
    <border>
      <left/>
      <right/>
      <top/>
      <bottom/>
      <diagonal/>
    </border>
    <border>
      <left style="thin">
        <color rgb="00D6DCE8"/>
      </left>
      <right style="thin">
        <color rgb="00D6DCE8"/>
      </right>
      <top style="thin">
        <color rgb="00D6DCE8"/>
      </top>
      <bottom style="thin">
        <color rgb="00D6DCE8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3" fontId="4" fillId="0" borderId="1" pivotButton="0" quotePrefix="0" xfId="0"/>
    <xf numFmtId="10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4" fontId="4" fillId="0" borderId="1" pivotButton="0" quotePrefix="0" xfId="0"/>
    <xf numFmtId="3" fontId="4" fillId="0" borderId="0" pivotButton="0" quotePrefix="0" xfId="0"/>
    <xf numFmtId="165" fontId="4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  <xf numFmtId="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5" fontId="0" fillId="3" borderId="0" pivotButton="0" quotePrefix="0" xfId="0"/>
    <xf numFmtId="164" fontId="0" fillId="3" borderId="0" pivotButton="0" quotePrefix="0" xfId="0"/>
    <xf numFmtId="166" fontId="0" fillId="3" borderId="0" pivotButton="0" quotePrefix="0" xfId="0"/>
    <xf numFmtId="10" fontId="0" fillId="3" borderId="0" pivotButton="0" quotePrefix="0" xfId="0"/>
    <xf numFmtId="4" fontId="0" fillId="3" borderId="0" pivotButton="0" quotePrefix="0" xfId="0"/>
    <xf numFmtId="0" fontId="5" fillId="0" borderId="0" pivotButton="0" quotePrefix="0" xfId="0"/>
    <xf numFmtId="165" fontId="0" fillId="0" borderId="1" pivotButton="0" quotePrefix="0" xfId="0"/>
    <xf numFmtId="166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10" fontId="0" fillId="0" borderId="1" pivotButton="0" quotePrefix="0" xfId="0"/>
    <xf numFmtId="4" fontId="0" fillId="0" borderId="1" pivotButton="0" quotePrefix="0" xfId="0"/>
    <xf numFmtId="0" fontId="6" fillId="0" borderId="0" pivotButton="0" quotePrefix="0" xfId="0"/>
    <xf numFmtId="0" fontId="6" fillId="4" borderId="0" pivotButton="0" quotePrefix="0" xfId="0"/>
    <xf numFmtId="0" fontId="6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Exit ARR by quarter</a:t>
            </a:r>
          </a:p>
        </rich>
      </tx>
    </title>
    <plotArea>
      <lineChart>
        <grouping val="standard"/>
        <ser>
          <idx val="0"/>
          <order val="0"/>
          <tx>
            <strRef>
              <f>'Quarterly'!C4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'Quarterly'!$A$5:$A$16</f>
            </numRef>
          </cat>
          <val>
            <numRef>
              <f>'Quarterly'!$C$5:$C$16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3</row>
      <rowOff>0</rowOff>
    </from>
    <ext cx="61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showGridLines="0"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Bluebell SaaS Pte Ltd - operating model</t>
        </is>
      </c>
    </row>
    <row r="2">
      <c r="A2" s="2" t="inlineStr">
        <is>
          <t>Source: data/financials.xlsx (36 months, Oct-2023 to 2026-09). Opening active customers = 120, per management.</t>
        </is>
      </c>
    </row>
    <row r="4">
      <c r="A4" s="3" t="inlineStr"/>
    </row>
    <row r="5">
      <c r="A5" s="3" t="inlineStr">
        <is>
          <t>How to use</t>
        </is>
      </c>
    </row>
    <row r="6">
      <c r="A6" s="3" t="inlineStr">
        <is>
          <t>Blue cells are inputs. Everything else is a live formula - change a driver and the whole model recalculates.</t>
        </is>
      </c>
    </row>
    <row r="7">
      <c r="A7" s="3" t="inlineStr">
        <is>
          <t>Input_Data is the only sheet with pasted numbers. Replace it with a fresh extract each month; all other tabs follow.</t>
        </is>
      </c>
    </row>
    <row r="8">
      <c r="A8" s="3" t="inlineStr"/>
    </row>
    <row r="9">
      <c r="A9" s="3" t="inlineStr">
        <is>
          <t>Definitions used</t>
        </is>
      </c>
    </row>
    <row r="10">
      <c r="A10" s="3" t="inlineStr">
        <is>
          <t>Active customers    opening + new - churned, seeded at 120</t>
        </is>
      </c>
    </row>
    <row r="11">
      <c r="A11" s="3" t="inlineStr">
        <is>
          <t>ARPA                MRR / period-end active customers</t>
        </is>
      </c>
    </row>
    <row r="12">
      <c r="A12" s="3" t="inlineStr">
        <is>
          <t>Gross margin        (MRR - COGS) / MRR</t>
        </is>
      </c>
    </row>
    <row r="13">
      <c r="A13" s="3" t="inlineStr">
        <is>
          <t>Logo churn          churned customers / opening customers, monthly</t>
        </is>
      </c>
    </row>
    <row r="14">
      <c r="A14" s="3" t="inlineStr">
        <is>
          <t>CAC                 trailing-12-month S&amp;M / trailing-12-month NEW customers (no netting of churn)</t>
        </is>
      </c>
    </row>
    <row r="15">
      <c r="A15" s="3" t="inlineStr">
        <is>
          <t>LTV                 ARPA x trailing-12-month gross margin / trailing-12-month logo churn rate</t>
        </is>
      </c>
    </row>
    <row r="16">
      <c r="A16" s="3" t="inlineStr">
        <is>
          <t>CAC payback         CAC / (ARPA x trailing-12-month gross margin), in months</t>
        </is>
      </c>
    </row>
    <row r="17">
      <c r="A17" s="3" t="inlineStr">
        <is>
          <t>Magic number        quarterly net new ARR / prior-quarter S&amp;M spend</t>
        </is>
      </c>
    </row>
    <row r="18">
      <c r="A18" s="3" t="inlineStr"/>
    </row>
    <row r="19">
      <c r="A19" s="3" t="inlineStr">
        <is>
          <t>What this file does NOT contain</t>
        </is>
      </c>
    </row>
    <row r="20">
      <c r="A20" s="3" t="inlineStr">
        <is>
          <t>The source data has revenue, COGS, S&amp;M and headcount only. There is no R&amp;D, G&amp;A or payroll detail, so operating expense, EBITDA, net burn and runway cannot be computed. 'Contribution' below = MRR - COGS - S&amp;M and is an upper bound on profitability, not a burn figure.</t>
        </is>
      </c>
    </row>
    <row r="21">
      <c r="A21" s="3" t="inlineStr">
        <is>
          <t>No expansion/contraction detail exists either, so net revenue retention is not derivable; the ARR bridge treats expansion as a residual.</t>
        </is>
      </c>
    </row>
    <row r="22">
      <c r="A22" s="3" t="inlineStr"/>
    </row>
    <row r="23">
      <c r="A23" s="3" t="inlineStr">
        <is>
          <t>Data-quality flag</t>
        </is>
      </c>
    </row>
    <row r="24">
      <c r="A24" s="3" t="inlineStr">
        <is>
          <t>The extract behaves like normalised management data rather than a raw ledger: gross margin rises by exactly 17.1 basis points in every one of the 36 months (72.00% to 78.00%), and churned-customer counts step up on a fixed cadence. Worth reconciling to the accounting system before external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62" customWidth="1" min="3" max="3"/>
  </cols>
  <sheetData>
    <row r="1">
      <c r="A1" s="1" t="inlineStr">
        <is>
          <t>Assumptions &amp; drivers</t>
        </is>
      </c>
    </row>
    <row r="2">
      <c r="A2" s="2" t="inlineStr">
        <is>
          <t>Blue = input. Edit these; the model follows.</t>
        </is>
      </c>
    </row>
    <row r="4" ht="30" customHeight="1">
      <c r="A4" s="4" t="inlineStr">
        <is>
          <t>Driver</t>
        </is>
      </c>
      <c r="B4" s="4" t="inlineStr">
        <is>
          <t>Value</t>
        </is>
      </c>
      <c r="C4" s="4" t="inlineStr">
        <is>
          <t>Basis</t>
        </is>
      </c>
    </row>
    <row r="5">
      <c r="A5" t="inlineStr">
        <is>
          <t>Opening active customers (Oct-2023)</t>
        </is>
      </c>
      <c r="B5" s="5" t="n">
        <v>120</v>
      </c>
      <c r="C5" s="3" t="inlineStr">
        <is>
          <t>Given by management; seeds the whole customer roll-forward.</t>
        </is>
      </c>
    </row>
    <row r="6">
      <c r="A6" t="inlineStr">
        <is>
          <t>Projection: monthly growth in new logos</t>
        </is>
      </c>
      <c r="B6" s="6" t="n">
        <v>0.02637299519054404</v>
      </c>
      <c r="C6" s="3" t="inlineStr">
        <is>
          <t>Trailing-12-month CAGR of monthly new customers.</t>
        </is>
      </c>
    </row>
    <row r="7">
      <c r="A7" t="inlineStr">
        <is>
          <t>Projection: monthly logo churn rate</t>
        </is>
      </c>
      <c r="B7" s="6" t="n">
        <v>0.0225543102255431</v>
      </c>
      <c r="C7" s="3" t="inlineStr">
        <is>
          <t>Trailing-12-month churn; held flat (conservative - the trend is improving).</t>
        </is>
      </c>
    </row>
    <row r="8">
      <c r="A8" t="inlineStr">
        <is>
          <t>Projection: monthly ARPA growth</t>
        </is>
      </c>
      <c r="B8" s="6" t="n">
        <v>0.007157179797856017</v>
      </c>
      <c r="C8" s="3" t="inlineStr">
        <is>
          <t>Trailing-12-month CAGR of ARPA.</t>
        </is>
      </c>
    </row>
    <row r="9">
      <c r="A9" t="inlineStr">
        <is>
          <t>Projection: gross margin</t>
        </is>
      </c>
      <c r="B9" s="7" t="n">
        <v>0.7799999742811397</v>
      </c>
      <c r="C9" s="3" t="inlineStr">
        <is>
          <t>Latest month; held flat rather than extrapolating the upward trend.</t>
        </is>
      </c>
    </row>
    <row r="10">
      <c r="A10" t="inlineStr">
        <is>
          <t>Projection: CAC per new logo</t>
        </is>
      </c>
      <c r="B10" s="8" t="n">
        <v>1172.914723502304</v>
      </c>
      <c r="C10" s="3" t="inlineStr">
        <is>
          <t>Latest trailing-12-month CAC; drives projected S&amp;M spend.</t>
        </is>
      </c>
    </row>
    <row r="11">
      <c r="A11" t="inlineStr">
        <is>
          <t>Benchmark: CAC payback target (months)</t>
        </is>
      </c>
      <c r="B11" s="9" t="n">
        <v>12</v>
      </c>
      <c r="C11" s="3" t="inlineStr">
        <is>
          <t>Common venture benchmark.</t>
        </is>
      </c>
    </row>
    <row r="12">
      <c r="A12" t="inlineStr">
        <is>
          <t>Benchmark: LTV:CAC target</t>
        </is>
      </c>
      <c r="B12" s="9" t="n">
        <v>3</v>
      </c>
      <c r="C12" s="3" t="inlineStr">
        <is>
          <t>Common venture benchmark.</t>
        </is>
      </c>
    </row>
    <row r="13">
      <c r="A13" t="inlineStr">
        <is>
          <t>Benchmark: magic number threshold</t>
        </is>
      </c>
      <c r="B13" s="9" t="n">
        <v>0.75</v>
      </c>
      <c r="C13" s="3" t="inlineStr">
        <is>
          <t>Above 0.75 = keep spending.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Input data (as supplied)</t>
        </is>
      </c>
    </row>
    <row r="2">
      <c r="A2" s="2" t="inlineStr">
        <is>
          <t>Pasted from data/financials.xlsx - the only hardcoded numbers in the model.</t>
        </is>
      </c>
    </row>
    <row r="4" ht="30" customHeight="1">
      <c r="A4" s="4" t="inlineStr">
        <is>
          <t>Month</t>
        </is>
      </c>
      <c r="B4" s="4" t="inlineStr">
        <is>
          <t>MRR</t>
        </is>
      </c>
      <c r="C4" s="4" t="inlineStr">
        <is>
          <t>New customers</t>
        </is>
      </c>
      <c r="D4" s="4" t="inlineStr">
        <is>
          <t>Churned customers</t>
        </is>
      </c>
      <c r="E4" s="4" t="inlineStr">
        <is>
          <t>COGS</t>
        </is>
      </c>
      <c r="F4" s="4" t="inlineStr">
        <is>
          <t>S&amp;M spend</t>
        </is>
      </c>
      <c r="G4" s="4" t="inlineStr">
        <is>
          <t>Headcount</t>
        </is>
      </c>
    </row>
    <row r="5">
      <c r="A5" s="10" t="inlineStr">
        <is>
          <t>2023-10</t>
        </is>
      </c>
      <c r="B5" s="11" t="n">
        <v>22955.41</v>
      </c>
      <c r="C5" s="10" t="n">
        <v>14</v>
      </c>
      <c r="D5" s="10" t="n">
        <v>4</v>
      </c>
      <c r="E5" s="11" t="n">
        <v>6427.51</v>
      </c>
      <c r="F5" s="11" t="n">
        <v>12146.46</v>
      </c>
      <c r="G5" s="10" t="n">
        <v>9</v>
      </c>
    </row>
    <row r="6">
      <c r="A6" s="10" t="inlineStr">
        <is>
          <t>2023-11</t>
        </is>
      </c>
      <c r="B6" s="11" t="n">
        <v>25680.63</v>
      </c>
      <c r="C6" s="10" t="n">
        <v>14</v>
      </c>
      <c r="D6" s="10" t="n">
        <v>4</v>
      </c>
      <c r="E6" s="11" t="n">
        <v>7146.55</v>
      </c>
      <c r="F6" s="11" t="n">
        <v>13079.62</v>
      </c>
      <c r="G6" s="10" t="n">
        <v>10</v>
      </c>
    </row>
    <row r="7">
      <c r="A7" s="10" t="inlineStr">
        <is>
          <t>2023-12</t>
        </is>
      </c>
      <c r="B7" s="11" t="n">
        <v>27600.88</v>
      </c>
      <c r="C7" s="10" t="n">
        <v>17</v>
      </c>
      <c r="D7" s="10" t="n">
        <v>4</v>
      </c>
      <c r="E7" s="11" t="n">
        <v>7633.61</v>
      </c>
      <c r="F7" s="11" t="n">
        <v>15396.65</v>
      </c>
      <c r="G7" s="10" t="n">
        <v>10</v>
      </c>
    </row>
    <row r="8">
      <c r="A8" s="10" t="inlineStr">
        <is>
          <t>2024-01</t>
        </is>
      </c>
      <c r="B8" s="11" t="n">
        <v>29838.64</v>
      </c>
      <c r="C8" s="10" t="n">
        <v>15</v>
      </c>
      <c r="D8" s="10" t="n">
        <v>5</v>
      </c>
      <c r="E8" s="11" t="n">
        <v>8201.360000000001</v>
      </c>
      <c r="F8" s="11" t="n">
        <v>13897.61</v>
      </c>
      <c r="G8" s="10" t="n">
        <v>11</v>
      </c>
    </row>
    <row r="9">
      <c r="A9" s="10" t="inlineStr">
        <is>
          <t>2024-02</t>
        </is>
      </c>
      <c r="B9" s="11" t="n">
        <v>31936.87</v>
      </c>
      <c r="C9" s="10" t="n">
        <v>15</v>
      </c>
      <c r="D9" s="10" t="n">
        <v>5</v>
      </c>
      <c r="E9" s="11" t="n">
        <v>8723.33</v>
      </c>
      <c r="F9" s="11" t="n">
        <v>14350.37</v>
      </c>
      <c r="G9" s="10" t="n">
        <v>12</v>
      </c>
    </row>
    <row r="10">
      <c r="A10" s="10" t="inlineStr">
        <is>
          <t>2024-03</t>
        </is>
      </c>
      <c r="B10" s="11" t="n">
        <v>34682.07</v>
      </c>
      <c r="C10" s="10" t="n">
        <v>18</v>
      </c>
      <c r="D10" s="10" t="n">
        <v>5</v>
      </c>
      <c r="E10" s="11" t="n">
        <v>9413.700000000001</v>
      </c>
      <c r="F10" s="11" t="n">
        <v>17213.82</v>
      </c>
      <c r="G10" s="10" t="n">
        <v>13</v>
      </c>
    </row>
    <row r="11">
      <c r="A11" s="10" t="inlineStr">
        <is>
          <t>2024-04</t>
        </is>
      </c>
      <c r="B11" s="11" t="n">
        <v>37305.89</v>
      </c>
      <c r="C11" s="10" t="n">
        <v>20</v>
      </c>
      <c r="D11" s="10" t="n">
        <v>6</v>
      </c>
      <c r="E11" s="11" t="n">
        <v>10061.93</v>
      </c>
      <c r="F11" s="11" t="n">
        <v>19959.66</v>
      </c>
      <c r="G11" s="10" t="n">
        <v>13</v>
      </c>
    </row>
    <row r="12">
      <c r="A12" s="10" t="inlineStr">
        <is>
          <t>2024-05</t>
        </is>
      </c>
      <c r="B12" s="11" t="n">
        <v>40825.45</v>
      </c>
      <c r="C12" s="10" t="n">
        <v>20</v>
      </c>
      <c r="D12" s="10" t="n">
        <v>6</v>
      </c>
      <c r="E12" s="11" t="n">
        <v>10941.22</v>
      </c>
      <c r="F12" s="11" t="n">
        <v>18141.63</v>
      </c>
      <c r="G12" s="10" t="n">
        <v>14</v>
      </c>
    </row>
    <row r="13">
      <c r="A13" s="10" t="inlineStr">
        <is>
          <t>2024-06</t>
        </is>
      </c>
      <c r="B13" s="11" t="n">
        <v>44263.07</v>
      </c>
      <c r="C13" s="10" t="n">
        <v>22</v>
      </c>
      <c r="D13" s="10" t="n">
        <v>6</v>
      </c>
      <c r="E13" s="11" t="n">
        <v>11786.62</v>
      </c>
      <c r="F13" s="11" t="n">
        <v>19920.09</v>
      </c>
      <c r="G13" s="10" t="n">
        <v>15</v>
      </c>
    </row>
    <row r="14">
      <c r="A14" s="10" t="inlineStr">
        <is>
          <t>2024-07</t>
        </is>
      </c>
      <c r="B14" s="11" t="n">
        <v>47951.09</v>
      </c>
      <c r="C14" s="10" t="n">
        <v>19</v>
      </c>
      <c r="D14" s="10" t="n">
        <v>7</v>
      </c>
      <c r="E14" s="11" t="n">
        <v>12686.49</v>
      </c>
      <c r="F14" s="11" t="n">
        <v>18873.83</v>
      </c>
      <c r="G14" s="10" t="n">
        <v>15</v>
      </c>
    </row>
    <row r="15">
      <c r="A15" s="10" t="inlineStr">
        <is>
          <t>2024-08</t>
        </is>
      </c>
      <c r="B15" s="11" t="n">
        <v>51330.25</v>
      </c>
      <c r="C15" s="10" t="n">
        <v>23</v>
      </c>
      <c r="D15" s="10" t="n">
        <v>7</v>
      </c>
      <c r="E15" s="11" t="n">
        <v>13492.52</v>
      </c>
      <c r="F15" s="11" t="n">
        <v>22802.84</v>
      </c>
      <c r="G15" s="10" t="n">
        <v>16</v>
      </c>
    </row>
    <row r="16">
      <c r="A16" s="10" t="inlineStr">
        <is>
          <t>2024-09</t>
        </is>
      </c>
      <c r="B16" s="11" t="n">
        <v>54420.02</v>
      </c>
      <c r="C16" s="10" t="n">
        <v>24</v>
      </c>
      <c r="D16" s="10" t="n">
        <v>7</v>
      </c>
      <c r="E16" s="11" t="n">
        <v>14211.4</v>
      </c>
      <c r="F16" s="11" t="n">
        <v>24061.55</v>
      </c>
      <c r="G16" s="10" t="n">
        <v>17</v>
      </c>
    </row>
    <row r="17">
      <c r="A17" s="10" t="inlineStr">
        <is>
          <t>2024-10</t>
        </is>
      </c>
      <c r="B17" s="11" t="n">
        <v>58642.99</v>
      </c>
      <c r="C17" s="10" t="n">
        <v>24</v>
      </c>
      <c r="D17" s="10" t="n">
        <v>8</v>
      </c>
      <c r="E17" s="11" t="n">
        <v>15213.67</v>
      </c>
      <c r="F17" s="11" t="n">
        <v>25461.49</v>
      </c>
      <c r="G17" s="10" t="n">
        <v>18</v>
      </c>
    </row>
    <row r="18">
      <c r="A18" s="10" t="inlineStr">
        <is>
          <t>2024-11</t>
        </is>
      </c>
      <c r="B18" s="11" t="n">
        <v>62609.88</v>
      </c>
      <c r="C18" s="10" t="n">
        <v>24</v>
      </c>
      <c r="D18" s="10" t="n">
        <v>8</v>
      </c>
      <c r="E18" s="11" t="n">
        <v>16135.46</v>
      </c>
      <c r="F18" s="11" t="n">
        <v>22510.32</v>
      </c>
      <c r="G18" s="10" t="n">
        <v>18</v>
      </c>
    </row>
    <row r="19">
      <c r="A19" s="10" t="inlineStr">
        <is>
          <t>2024-12</t>
        </is>
      </c>
      <c r="B19" s="11" t="n">
        <v>65134.61</v>
      </c>
      <c r="C19" s="10" t="n">
        <v>23</v>
      </c>
      <c r="D19" s="10" t="n">
        <v>8</v>
      </c>
      <c r="E19" s="11" t="n">
        <v>16674.46</v>
      </c>
      <c r="F19" s="11" t="n">
        <v>21882.71</v>
      </c>
      <c r="G19" s="10" t="n">
        <v>19</v>
      </c>
    </row>
    <row r="20">
      <c r="A20" s="10" t="inlineStr">
        <is>
          <t>2025-01</t>
        </is>
      </c>
      <c r="B20" s="11" t="n">
        <v>68219.28</v>
      </c>
      <c r="C20" s="10" t="n">
        <v>24</v>
      </c>
      <c r="D20" s="10" t="n">
        <v>9</v>
      </c>
      <c r="E20" s="11" t="n">
        <v>17347.19</v>
      </c>
      <c r="F20" s="11" t="n">
        <v>23808.77</v>
      </c>
      <c r="G20" s="10" t="n">
        <v>20</v>
      </c>
    </row>
    <row r="21">
      <c r="A21" s="10" t="inlineStr">
        <is>
          <t>2025-02</t>
        </is>
      </c>
      <c r="B21" s="11" t="n">
        <v>73239.00999999999</v>
      </c>
      <c r="C21" s="10" t="n">
        <v>27</v>
      </c>
      <c r="D21" s="10" t="n">
        <v>9</v>
      </c>
      <c r="E21" s="11" t="n">
        <v>18498.08</v>
      </c>
      <c r="F21" s="11" t="n">
        <v>27421.21</v>
      </c>
      <c r="G21" s="10" t="n">
        <v>20</v>
      </c>
    </row>
    <row r="22">
      <c r="A22" s="10" t="inlineStr">
        <is>
          <t>2025-03</t>
        </is>
      </c>
      <c r="B22" s="11" t="n">
        <v>76868.77</v>
      </c>
      <c r="C22" s="10" t="n">
        <v>25</v>
      </c>
      <c r="D22" s="10" t="n">
        <v>9</v>
      </c>
      <c r="E22" s="11" t="n">
        <v>19283.08</v>
      </c>
      <c r="F22" s="11" t="n">
        <v>27969.32</v>
      </c>
      <c r="G22" s="10" t="n">
        <v>21</v>
      </c>
    </row>
    <row r="23">
      <c r="A23" s="10" t="inlineStr">
        <is>
          <t>2025-04</t>
        </is>
      </c>
      <c r="B23" s="11" t="n">
        <v>82381.48</v>
      </c>
      <c r="C23" s="10" t="n">
        <v>28</v>
      </c>
      <c r="D23" s="10" t="n">
        <v>10</v>
      </c>
      <c r="E23" s="11" t="n">
        <v>20524.76</v>
      </c>
      <c r="F23" s="11" t="n">
        <v>27966.72</v>
      </c>
      <c r="G23" s="10" t="n">
        <v>22</v>
      </c>
    </row>
    <row r="24">
      <c r="A24" s="10" t="inlineStr">
        <is>
          <t>2025-05</t>
        </is>
      </c>
      <c r="B24" s="11" t="n">
        <v>85561.42999999999</v>
      </c>
      <c r="C24" s="10" t="n">
        <v>29</v>
      </c>
      <c r="D24" s="10" t="n">
        <v>10</v>
      </c>
      <c r="E24" s="11" t="n">
        <v>21170.34</v>
      </c>
      <c r="F24" s="11" t="n">
        <v>30228.37</v>
      </c>
      <c r="G24" s="10" t="n">
        <v>23</v>
      </c>
    </row>
    <row r="25">
      <c r="A25" s="10" t="inlineStr">
        <is>
          <t>2025-06</t>
        </is>
      </c>
      <c r="B25" s="11" t="n">
        <v>92658.86</v>
      </c>
      <c r="C25" s="10" t="n">
        <v>32</v>
      </c>
      <c r="D25" s="10" t="n">
        <v>10</v>
      </c>
      <c r="E25" s="11" t="n">
        <v>22767.61</v>
      </c>
      <c r="F25" s="11" t="n">
        <v>34598.12</v>
      </c>
      <c r="G25" s="10" t="n">
        <v>23</v>
      </c>
    </row>
    <row r="26">
      <c r="A26" s="10" t="inlineStr">
        <is>
          <t>2025-07</t>
        </is>
      </c>
      <c r="B26" s="11" t="n">
        <v>98533.00999999999</v>
      </c>
      <c r="C26" s="10" t="n">
        <v>31</v>
      </c>
      <c r="D26" s="10" t="n">
        <v>11</v>
      </c>
      <c r="E26" s="11" t="n">
        <v>24042.05</v>
      </c>
      <c r="F26" s="11" t="n">
        <v>34958.48</v>
      </c>
      <c r="G26" s="10" t="n">
        <v>24</v>
      </c>
    </row>
    <row r="27">
      <c r="A27" s="10" t="inlineStr">
        <is>
          <t>2025-08</t>
        </is>
      </c>
      <c r="B27" s="11" t="n">
        <v>99983.31</v>
      </c>
      <c r="C27" s="10" t="n">
        <v>29</v>
      </c>
      <c r="D27" s="10" t="n">
        <v>11</v>
      </c>
      <c r="E27" s="11" t="n">
        <v>24224.53</v>
      </c>
      <c r="F27" s="11" t="n">
        <v>30636.43</v>
      </c>
      <c r="G27" s="10" t="n">
        <v>25</v>
      </c>
    </row>
    <row r="28">
      <c r="A28" s="10" t="inlineStr">
        <is>
          <t>2025-09</t>
        </is>
      </c>
      <c r="B28" s="11" t="n">
        <v>105409.43</v>
      </c>
      <c r="C28" s="10" t="n">
        <v>30</v>
      </c>
      <c r="D28" s="10" t="n">
        <v>12</v>
      </c>
      <c r="E28" s="11" t="n">
        <v>25358.5</v>
      </c>
      <c r="F28" s="11" t="n">
        <v>35246.77</v>
      </c>
      <c r="G28" s="10" t="n">
        <v>25</v>
      </c>
    </row>
    <row r="29">
      <c r="A29" s="10" t="inlineStr">
        <is>
          <t>2025-10</t>
        </is>
      </c>
      <c r="B29" s="11" t="n">
        <v>111507.8</v>
      </c>
      <c r="C29" s="10" t="n">
        <v>34</v>
      </c>
      <c r="D29" s="10" t="n">
        <v>12</v>
      </c>
      <c r="E29" s="11" t="n">
        <v>26634.43</v>
      </c>
      <c r="F29" s="11" t="n">
        <v>38529.26</v>
      </c>
      <c r="G29" s="10" t="n">
        <v>26</v>
      </c>
    </row>
    <row r="30">
      <c r="A30" s="10" t="inlineStr">
        <is>
          <t>2025-11</t>
        </is>
      </c>
      <c r="B30" s="11" t="n">
        <v>119619.74</v>
      </c>
      <c r="C30" s="10" t="n">
        <v>32</v>
      </c>
      <c r="D30" s="10" t="n">
        <v>12</v>
      </c>
      <c r="E30" s="11" t="n">
        <v>28366.97</v>
      </c>
      <c r="F30" s="11" t="n">
        <v>35422.39</v>
      </c>
      <c r="G30" s="10" t="n">
        <v>27</v>
      </c>
    </row>
    <row r="31">
      <c r="A31" s="10" t="inlineStr">
        <is>
          <t>2025-12</t>
        </is>
      </c>
      <c r="B31" s="11" t="n">
        <v>121595.59</v>
      </c>
      <c r="C31" s="10" t="n">
        <v>32</v>
      </c>
      <c r="D31" s="10" t="n">
        <v>13</v>
      </c>
      <c r="E31" s="11" t="n">
        <v>28627.08</v>
      </c>
      <c r="F31" s="11" t="n">
        <v>36284.24</v>
      </c>
      <c r="G31" s="10" t="n">
        <v>28</v>
      </c>
    </row>
    <row r="32">
      <c r="A32" s="10" t="inlineStr">
        <is>
          <t>2026-01</t>
        </is>
      </c>
      <c r="B32" s="11" t="n">
        <v>128511.06</v>
      </c>
      <c r="C32" s="10" t="n">
        <v>32</v>
      </c>
      <c r="D32" s="10" t="n">
        <v>13</v>
      </c>
      <c r="E32" s="11" t="n">
        <v>30034.87</v>
      </c>
      <c r="F32" s="11" t="n">
        <v>38510.27</v>
      </c>
      <c r="G32" s="10" t="n">
        <v>28</v>
      </c>
    </row>
    <row r="33">
      <c r="A33" s="10" t="inlineStr">
        <is>
          <t>2026-02</t>
        </is>
      </c>
      <c r="B33" s="11" t="n">
        <v>132333.4</v>
      </c>
      <c r="C33" s="10" t="n">
        <v>34</v>
      </c>
      <c r="D33" s="10" t="n">
        <v>13</v>
      </c>
      <c r="E33" s="11" t="n">
        <v>30701.35</v>
      </c>
      <c r="F33" s="11" t="n">
        <v>41845.53</v>
      </c>
      <c r="G33" s="10" t="n">
        <v>29</v>
      </c>
    </row>
    <row r="34">
      <c r="A34" s="10" t="inlineStr">
        <is>
          <t>2026-03</t>
        </is>
      </c>
      <c r="B34" s="11" t="n">
        <v>137832.75</v>
      </c>
      <c r="C34" s="10" t="n">
        <v>36</v>
      </c>
      <c r="D34" s="10" t="n">
        <v>13</v>
      </c>
      <c r="E34" s="11" t="n">
        <v>31740.91</v>
      </c>
      <c r="F34" s="11" t="n">
        <v>38352.4</v>
      </c>
      <c r="G34" s="10" t="n">
        <v>30</v>
      </c>
    </row>
    <row r="35">
      <c r="A35" s="10" t="inlineStr">
        <is>
          <t>2026-04</t>
        </is>
      </c>
      <c r="B35" s="11" t="n">
        <v>146310.66</v>
      </c>
      <c r="C35" s="10" t="n">
        <v>33</v>
      </c>
      <c r="D35" s="10" t="n">
        <v>14</v>
      </c>
      <c r="E35" s="11" t="n">
        <v>33442.44</v>
      </c>
      <c r="F35" s="11" t="n">
        <v>39970.24</v>
      </c>
      <c r="G35" s="10" t="n">
        <v>30</v>
      </c>
    </row>
    <row r="36">
      <c r="A36" s="10" t="inlineStr">
        <is>
          <t>2026-05</t>
        </is>
      </c>
      <c r="B36" s="11" t="n">
        <v>149126.16</v>
      </c>
      <c r="C36" s="10" t="n">
        <v>36</v>
      </c>
      <c r="D36" s="10" t="n">
        <v>14</v>
      </c>
      <c r="E36" s="11" t="n">
        <v>33830.33</v>
      </c>
      <c r="F36" s="11" t="n">
        <v>41170.85</v>
      </c>
      <c r="G36" s="10" t="n">
        <v>31</v>
      </c>
    </row>
    <row r="37">
      <c r="A37" s="10" t="inlineStr">
        <is>
          <t>2026-06</t>
        </is>
      </c>
      <c r="B37" s="11" t="n">
        <v>159653.71</v>
      </c>
      <c r="C37" s="10" t="n">
        <v>42</v>
      </c>
      <c r="D37" s="10" t="n">
        <v>14</v>
      </c>
      <c r="E37" s="11" t="n">
        <v>35944.89</v>
      </c>
      <c r="F37" s="11" t="n">
        <v>53037.37</v>
      </c>
      <c r="G37" s="10" t="n">
        <v>32</v>
      </c>
    </row>
    <row r="38">
      <c r="A38" s="10" t="inlineStr">
        <is>
          <t>2026-07</t>
        </is>
      </c>
      <c r="B38" s="11" t="n">
        <v>163523.79</v>
      </c>
      <c r="C38" s="10" t="n">
        <v>41</v>
      </c>
      <c r="D38" s="10" t="n">
        <v>15</v>
      </c>
      <c r="E38" s="11" t="n">
        <v>36535.89</v>
      </c>
      <c r="F38" s="11" t="n">
        <v>50209.84</v>
      </c>
      <c r="G38" s="10" t="n">
        <v>33</v>
      </c>
    </row>
    <row r="39">
      <c r="A39" s="10" t="inlineStr">
        <is>
          <t>2026-08</t>
        </is>
      </c>
      <c r="B39" s="11" t="n">
        <v>174444.45</v>
      </c>
      <c r="C39" s="10" t="n">
        <v>41</v>
      </c>
      <c r="D39" s="10" t="n">
        <v>15</v>
      </c>
      <c r="E39" s="11" t="n">
        <v>38676.83</v>
      </c>
      <c r="F39" s="11" t="n">
        <v>47026.13</v>
      </c>
      <c r="G39" s="10" t="n">
        <v>33</v>
      </c>
    </row>
    <row r="40">
      <c r="A40" s="10" t="inlineStr">
        <is>
          <t>2026-09</t>
        </is>
      </c>
      <c r="B40" s="11" t="n">
        <v>178857.07</v>
      </c>
      <c r="C40" s="10" t="n">
        <v>41</v>
      </c>
      <c r="D40" s="10" t="n">
        <v>15</v>
      </c>
      <c r="E40" s="11" t="n">
        <v>39348.56</v>
      </c>
      <c r="F40" s="11" t="n">
        <v>48686.47</v>
      </c>
      <c r="G40" s="10" t="n">
        <v>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4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9" customWidth="1" min="4" max="4"/>
    <col width="9" customWidth="1" min="5" max="5"/>
    <col width="11" customWidth="1" min="6" max="6"/>
    <col width="12" customWidth="1" min="7" max="7"/>
    <col width="10" customWidth="1" min="8" max="8"/>
    <col width="10" customWidth="1" min="9" max="9"/>
    <col width="13" customWidth="1" min="10" max="10"/>
    <col width="12" customWidth="1" min="11" max="11"/>
    <col width="12" customWidth="1" min="12" max="12"/>
    <col width="10" customWidth="1" min="13" max="13"/>
    <col width="10" customWidth="1" min="14" max="14"/>
    <col width="10" customWidth="1" min="15" max="15"/>
    <col width="12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2" customWidth="1" min="22" max="22"/>
    <col width="10" customWidth="1" min="23" max="23"/>
    <col width="11" customWidth="1" min="24" max="24"/>
    <col width="13" customWidth="1" min="25" max="25"/>
    <col width="11" customWidth="1" min="26" max="26"/>
    <col width="10" customWidth="1" min="27" max="27"/>
    <col width="13" customWidth="1" min="28" max="28"/>
  </cols>
  <sheetData>
    <row r="1">
      <c r="A1" s="1" t="inlineStr">
        <is>
          <t>Monthly metrics</t>
        </is>
      </c>
    </row>
    <row r="2">
      <c r="A2" s="2" t="inlineStr">
        <is>
          <t>Every cell is a formula off Input_Data and Assumptions. TTM columns start once 12 months of history exist.</t>
        </is>
      </c>
    </row>
    <row r="4" ht="30" customHeight="1">
      <c r="A4" s="4" t="inlineStr">
        <is>
          <t>Month</t>
        </is>
      </c>
      <c r="B4" s="4" t="inlineStr">
        <is>
          <t>Customers opening</t>
        </is>
      </c>
      <c r="C4" s="4" t="inlineStr">
        <is>
          <t>New</t>
        </is>
      </c>
      <c r="D4" s="4" t="inlineStr">
        <is>
          <t>Churned</t>
        </is>
      </c>
      <c r="E4" s="4" t="inlineStr">
        <is>
          <t>Net adds</t>
        </is>
      </c>
      <c r="F4" s="4" t="inlineStr">
        <is>
          <t>Customers closing</t>
        </is>
      </c>
      <c r="G4" s="4" t="inlineStr">
        <is>
          <t>MRR</t>
        </is>
      </c>
      <c r="H4" s="4" t="inlineStr">
        <is>
          <t>MoM growth</t>
        </is>
      </c>
      <c r="I4" s="4" t="inlineStr">
        <is>
          <t>YoY growth</t>
        </is>
      </c>
      <c r="J4" s="4" t="inlineStr">
        <is>
          <t>ARR</t>
        </is>
      </c>
      <c r="K4" s="4" t="inlineStr">
        <is>
          <t>COGS</t>
        </is>
      </c>
      <c r="L4" s="4" t="inlineStr">
        <is>
          <t>Gross profit</t>
        </is>
      </c>
      <c r="M4" s="4" t="inlineStr">
        <is>
          <t>Gross margin</t>
        </is>
      </c>
      <c r="N4" s="4" t="inlineStr">
        <is>
          <t>ARPA</t>
        </is>
      </c>
      <c r="O4" s="4" t="inlineStr">
        <is>
          <t>Logo churn</t>
        </is>
      </c>
      <c r="P4" s="4" t="inlineStr">
        <is>
          <t>S&amp;M spend</t>
        </is>
      </c>
      <c r="Q4" s="4" t="inlineStr">
        <is>
          <t>CAC (month)</t>
        </is>
      </c>
      <c r="R4" s="4" t="inlineStr">
        <is>
          <t>CAC (TTM)</t>
        </is>
      </c>
      <c r="S4" s="4" t="inlineStr">
        <is>
          <t>Gross margin (TTM)</t>
        </is>
      </c>
      <c r="T4" s="4" t="inlineStr">
        <is>
          <t>Logo churn (TTM)</t>
        </is>
      </c>
      <c r="U4" s="4" t="inlineStr">
        <is>
          <t>Implied life (mo)</t>
        </is>
      </c>
      <c r="V4" s="4" t="inlineStr">
        <is>
          <t>LTV</t>
        </is>
      </c>
      <c r="W4" s="4" t="inlineStr">
        <is>
          <t>LTV : CAC</t>
        </is>
      </c>
      <c r="X4" s="4" t="inlineStr">
        <is>
          <t>CAC payback (mo)</t>
        </is>
      </c>
      <c r="Y4" s="4" t="inlineStr">
        <is>
          <t>Contribution</t>
        </is>
      </c>
      <c r="Z4" s="4" t="inlineStr">
        <is>
          <t>Contribution margin</t>
        </is>
      </c>
      <c r="AA4" s="4" t="inlineStr">
        <is>
          <t>Headcount</t>
        </is>
      </c>
      <c r="AB4" s="4" t="inlineStr">
        <is>
          <t>ARR per FTE</t>
        </is>
      </c>
    </row>
    <row r="5">
      <c r="A5">
        <f>Input_Data!A5</f>
        <v/>
      </c>
      <c r="B5" s="12">
        <f>Assumptions!$B$5</f>
        <v/>
      </c>
      <c r="C5" s="12">
        <f>Input_Data!C5</f>
        <v/>
      </c>
      <c r="D5" s="12">
        <f>Input_Data!D5</f>
        <v/>
      </c>
      <c r="E5" s="12">
        <f>C5-D5</f>
        <v/>
      </c>
      <c r="F5" s="12">
        <f>B5+E5</f>
        <v/>
      </c>
      <c r="G5" s="13">
        <f>Input_Data!B5</f>
        <v/>
      </c>
      <c r="H5" s="14" t="n"/>
      <c r="I5" s="14" t="n"/>
      <c r="J5" s="15">
        <f>G5*12</f>
        <v/>
      </c>
      <c r="K5" s="13">
        <f>Input_Data!E5</f>
        <v/>
      </c>
      <c r="L5" s="13">
        <f>G5-K5</f>
        <v/>
      </c>
      <c r="M5" s="14">
        <f>L5/G5</f>
        <v/>
      </c>
      <c r="N5" s="13">
        <f>G5/F5</f>
        <v/>
      </c>
      <c r="O5" s="16">
        <f>D5/B5</f>
        <v/>
      </c>
      <c r="P5" s="13">
        <f>Input_Data!F5</f>
        <v/>
      </c>
      <c r="Q5" s="13">
        <f>P5/C5</f>
        <v/>
      </c>
      <c r="R5" s="13" t="n"/>
      <c r="S5" s="14" t="n"/>
      <c r="T5" s="16" t="n"/>
      <c r="U5" s="17" t="n"/>
      <c r="V5" s="13" t="n"/>
      <c r="W5" s="17" t="n"/>
      <c r="X5" s="17" t="n"/>
      <c r="Y5" s="13">
        <f>G5-K5-P5</f>
        <v/>
      </c>
      <c r="Z5" s="14">
        <f>Y5/G5</f>
        <v/>
      </c>
      <c r="AA5" s="12">
        <f>Input_Data!G5</f>
        <v/>
      </c>
      <c r="AB5" s="15">
        <f>J5/AA5</f>
        <v/>
      </c>
    </row>
    <row r="6">
      <c r="A6" s="18">
        <f>Input_Data!A6</f>
        <v/>
      </c>
      <c r="B6" s="19">
        <f>F5</f>
        <v/>
      </c>
      <c r="C6" s="19">
        <f>Input_Data!C6</f>
        <v/>
      </c>
      <c r="D6" s="19">
        <f>Input_Data!D6</f>
        <v/>
      </c>
      <c r="E6" s="19">
        <f>C6-D6</f>
        <v/>
      </c>
      <c r="F6" s="19">
        <f>B6+E6</f>
        <v/>
      </c>
      <c r="G6" s="20">
        <f>Input_Data!B6</f>
        <v/>
      </c>
      <c r="H6" s="21">
        <f>G6/G5-1</f>
        <v/>
      </c>
      <c r="I6" s="21" t="n"/>
      <c r="J6" s="22">
        <f>G6*12</f>
        <v/>
      </c>
      <c r="K6" s="20">
        <f>Input_Data!E6</f>
        <v/>
      </c>
      <c r="L6" s="20">
        <f>G6-K6</f>
        <v/>
      </c>
      <c r="M6" s="21">
        <f>L6/G6</f>
        <v/>
      </c>
      <c r="N6" s="20">
        <f>G6/F6</f>
        <v/>
      </c>
      <c r="O6" s="23">
        <f>D6/B6</f>
        <v/>
      </c>
      <c r="P6" s="20">
        <f>Input_Data!F6</f>
        <v/>
      </c>
      <c r="Q6" s="20">
        <f>P6/C6</f>
        <v/>
      </c>
      <c r="R6" s="20" t="n"/>
      <c r="S6" s="21" t="n"/>
      <c r="T6" s="23" t="n"/>
      <c r="U6" s="24" t="n"/>
      <c r="V6" s="20" t="n"/>
      <c r="W6" s="24" t="n"/>
      <c r="X6" s="24" t="n"/>
      <c r="Y6" s="20">
        <f>G6-K6-P6</f>
        <v/>
      </c>
      <c r="Z6" s="21">
        <f>Y6/G6</f>
        <v/>
      </c>
      <c r="AA6" s="19">
        <f>Input_Data!G6</f>
        <v/>
      </c>
      <c r="AB6" s="22">
        <f>J6/AA6</f>
        <v/>
      </c>
    </row>
    <row r="7">
      <c r="A7">
        <f>Input_Data!A7</f>
        <v/>
      </c>
      <c r="B7" s="12">
        <f>F6</f>
        <v/>
      </c>
      <c r="C7" s="12">
        <f>Input_Data!C7</f>
        <v/>
      </c>
      <c r="D7" s="12">
        <f>Input_Data!D7</f>
        <v/>
      </c>
      <c r="E7" s="12">
        <f>C7-D7</f>
        <v/>
      </c>
      <c r="F7" s="12">
        <f>B7+E7</f>
        <v/>
      </c>
      <c r="G7" s="13">
        <f>Input_Data!B7</f>
        <v/>
      </c>
      <c r="H7" s="14">
        <f>G7/G6-1</f>
        <v/>
      </c>
      <c r="I7" s="14" t="n"/>
      <c r="J7" s="15">
        <f>G7*12</f>
        <v/>
      </c>
      <c r="K7" s="13">
        <f>Input_Data!E7</f>
        <v/>
      </c>
      <c r="L7" s="13">
        <f>G7-K7</f>
        <v/>
      </c>
      <c r="M7" s="14">
        <f>L7/G7</f>
        <v/>
      </c>
      <c r="N7" s="13">
        <f>G7/F7</f>
        <v/>
      </c>
      <c r="O7" s="16">
        <f>D7/B7</f>
        <v/>
      </c>
      <c r="P7" s="13">
        <f>Input_Data!F7</f>
        <v/>
      </c>
      <c r="Q7" s="13">
        <f>P7/C7</f>
        <v/>
      </c>
      <c r="R7" s="13" t="n"/>
      <c r="S7" s="14" t="n"/>
      <c r="T7" s="16" t="n"/>
      <c r="U7" s="17" t="n"/>
      <c r="V7" s="13" t="n"/>
      <c r="W7" s="17" t="n"/>
      <c r="X7" s="17" t="n"/>
      <c r="Y7" s="13">
        <f>G7-K7-P7</f>
        <v/>
      </c>
      <c r="Z7" s="14">
        <f>Y7/G7</f>
        <v/>
      </c>
      <c r="AA7" s="12">
        <f>Input_Data!G7</f>
        <v/>
      </c>
      <c r="AB7" s="15">
        <f>J7/AA7</f>
        <v/>
      </c>
    </row>
    <row r="8">
      <c r="A8" s="18">
        <f>Input_Data!A8</f>
        <v/>
      </c>
      <c r="B8" s="19">
        <f>F7</f>
        <v/>
      </c>
      <c r="C8" s="19">
        <f>Input_Data!C8</f>
        <v/>
      </c>
      <c r="D8" s="19">
        <f>Input_Data!D8</f>
        <v/>
      </c>
      <c r="E8" s="19">
        <f>C8-D8</f>
        <v/>
      </c>
      <c r="F8" s="19">
        <f>B8+E8</f>
        <v/>
      </c>
      <c r="G8" s="20">
        <f>Input_Data!B8</f>
        <v/>
      </c>
      <c r="H8" s="21">
        <f>G8/G7-1</f>
        <v/>
      </c>
      <c r="I8" s="21" t="n"/>
      <c r="J8" s="22">
        <f>G8*12</f>
        <v/>
      </c>
      <c r="K8" s="20">
        <f>Input_Data!E8</f>
        <v/>
      </c>
      <c r="L8" s="20">
        <f>G8-K8</f>
        <v/>
      </c>
      <c r="M8" s="21">
        <f>L8/G8</f>
        <v/>
      </c>
      <c r="N8" s="20">
        <f>G8/F8</f>
        <v/>
      </c>
      <c r="O8" s="23">
        <f>D8/B8</f>
        <v/>
      </c>
      <c r="P8" s="20">
        <f>Input_Data!F8</f>
        <v/>
      </c>
      <c r="Q8" s="20">
        <f>P8/C8</f>
        <v/>
      </c>
      <c r="R8" s="20" t="n"/>
      <c r="S8" s="21" t="n"/>
      <c r="T8" s="23" t="n"/>
      <c r="U8" s="24" t="n"/>
      <c r="V8" s="20" t="n"/>
      <c r="W8" s="24" t="n"/>
      <c r="X8" s="24" t="n"/>
      <c r="Y8" s="20">
        <f>G8-K8-P8</f>
        <v/>
      </c>
      <c r="Z8" s="21">
        <f>Y8/G8</f>
        <v/>
      </c>
      <c r="AA8" s="19">
        <f>Input_Data!G8</f>
        <v/>
      </c>
      <c r="AB8" s="22">
        <f>J8/AA8</f>
        <v/>
      </c>
    </row>
    <row r="9">
      <c r="A9">
        <f>Input_Data!A9</f>
        <v/>
      </c>
      <c r="B9" s="12">
        <f>F8</f>
        <v/>
      </c>
      <c r="C9" s="12">
        <f>Input_Data!C9</f>
        <v/>
      </c>
      <c r="D9" s="12">
        <f>Input_Data!D9</f>
        <v/>
      </c>
      <c r="E9" s="12">
        <f>C9-D9</f>
        <v/>
      </c>
      <c r="F9" s="12">
        <f>B9+E9</f>
        <v/>
      </c>
      <c r="G9" s="13">
        <f>Input_Data!B9</f>
        <v/>
      </c>
      <c r="H9" s="14">
        <f>G9/G8-1</f>
        <v/>
      </c>
      <c r="I9" s="14" t="n"/>
      <c r="J9" s="15">
        <f>G9*12</f>
        <v/>
      </c>
      <c r="K9" s="13">
        <f>Input_Data!E9</f>
        <v/>
      </c>
      <c r="L9" s="13">
        <f>G9-K9</f>
        <v/>
      </c>
      <c r="M9" s="14">
        <f>L9/G9</f>
        <v/>
      </c>
      <c r="N9" s="13">
        <f>G9/F9</f>
        <v/>
      </c>
      <c r="O9" s="16">
        <f>D9/B9</f>
        <v/>
      </c>
      <c r="P9" s="13">
        <f>Input_Data!F9</f>
        <v/>
      </c>
      <c r="Q9" s="13">
        <f>P9/C9</f>
        <v/>
      </c>
      <c r="R9" s="13" t="n"/>
      <c r="S9" s="14" t="n"/>
      <c r="T9" s="16" t="n"/>
      <c r="U9" s="17" t="n"/>
      <c r="V9" s="13" t="n"/>
      <c r="W9" s="17" t="n"/>
      <c r="X9" s="17" t="n"/>
      <c r="Y9" s="13">
        <f>G9-K9-P9</f>
        <v/>
      </c>
      <c r="Z9" s="14">
        <f>Y9/G9</f>
        <v/>
      </c>
      <c r="AA9" s="12">
        <f>Input_Data!G9</f>
        <v/>
      </c>
      <c r="AB9" s="15">
        <f>J9/AA9</f>
        <v/>
      </c>
    </row>
    <row r="10">
      <c r="A10" s="18">
        <f>Input_Data!A10</f>
        <v/>
      </c>
      <c r="B10" s="19">
        <f>F9</f>
        <v/>
      </c>
      <c r="C10" s="19">
        <f>Input_Data!C10</f>
        <v/>
      </c>
      <c r="D10" s="19">
        <f>Input_Data!D10</f>
        <v/>
      </c>
      <c r="E10" s="19">
        <f>C10-D10</f>
        <v/>
      </c>
      <c r="F10" s="19">
        <f>B10+E10</f>
        <v/>
      </c>
      <c r="G10" s="20">
        <f>Input_Data!B10</f>
        <v/>
      </c>
      <c r="H10" s="21">
        <f>G10/G9-1</f>
        <v/>
      </c>
      <c r="I10" s="21" t="n"/>
      <c r="J10" s="22">
        <f>G10*12</f>
        <v/>
      </c>
      <c r="K10" s="20">
        <f>Input_Data!E10</f>
        <v/>
      </c>
      <c r="L10" s="20">
        <f>G10-K10</f>
        <v/>
      </c>
      <c r="M10" s="21">
        <f>L10/G10</f>
        <v/>
      </c>
      <c r="N10" s="20">
        <f>G10/F10</f>
        <v/>
      </c>
      <c r="O10" s="23">
        <f>D10/B10</f>
        <v/>
      </c>
      <c r="P10" s="20">
        <f>Input_Data!F10</f>
        <v/>
      </c>
      <c r="Q10" s="20">
        <f>P10/C10</f>
        <v/>
      </c>
      <c r="R10" s="20" t="n"/>
      <c r="S10" s="21" t="n"/>
      <c r="T10" s="23" t="n"/>
      <c r="U10" s="24" t="n"/>
      <c r="V10" s="20" t="n"/>
      <c r="W10" s="24" t="n"/>
      <c r="X10" s="24" t="n"/>
      <c r="Y10" s="20">
        <f>G10-K10-P10</f>
        <v/>
      </c>
      <c r="Z10" s="21">
        <f>Y10/G10</f>
        <v/>
      </c>
      <c r="AA10" s="19">
        <f>Input_Data!G10</f>
        <v/>
      </c>
      <c r="AB10" s="22">
        <f>J10/AA10</f>
        <v/>
      </c>
    </row>
    <row r="11">
      <c r="A11">
        <f>Input_Data!A11</f>
        <v/>
      </c>
      <c r="B11" s="12">
        <f>F10</f>
        <v/>
      </c>
      <c r="C11" s="12">
        <f>Input_Data!C11</f>
        <v/>
      </c>
      <c r="D11" s="12">
        <f>Input_Data!D11</f>
        <v/>
      </c>
      <c r="E11" s="12">
        <f>C11-D11</f>
        <v/>
      </c>
      <c r="F11" s="12">
        <f>B11+E11</f>
        <v/>
      </c>
      <c r="G11" s="13">
        <f>Input_Data!B11</f>
        <v/>
      </c>
      <c r="H11" s="14">
        <f>G11/G10-1</f>
        <v/>
      </c>
      <c r="I11" s="14" t="n"/>
      <c r="J11" s="15">
        <f>G11*12</f>
        <v/>
      </c>
      <c r="K11" s="13">
        <f>Input_Data!E11</f>
        <v/>
      </c>
      <c r="L11" s="13">
        <f>G11-K11</f>
        <v/>
      </c>
      <c r="M11" s="14">
        <f>L11/G11</f>
        <v/>
      </c>
      <c r="N11" s="13">
        <f>G11/F11</f>
        <v/>
      </c>
      <c r="O11" s="16">
        <f>D11/B11</f>
        <v/>
      </c>
      <c r="P11" s="13">
        <f>Input_Data!F11</f>
        <v/>
      </c>
      <c r="Q11" s="13">
        <f>P11/C11</f>
        <v/>
      </c>
      <c r="R11" s="13" t="n"/>
      <c r="S11" s="14" t="n"/>
      <c r="T11" s="16" t="n"/>
      <c r="U11" s="17" t="n"/>
      <c r="V11" s="13" t="n"/>
      <c r="W11" s="17" t="n"/>
      <c r="X11" s="17" t="n"/>
      <c r="Y11" s="13">
        <f>G11-K11-P11</f>
        <v/>
      </c>
      <c r="Z11" s="14">
        <f>Y11/G11</f>
        <v/>
      </c>
      <c r="AA11" s="12">
        <f>Input_Data!G11</f>
        <v/>
      </c>
      <c r="AB11" s="15">
        <f>J11/AA11</f>
        <v/>
      </c>
    </row>
    <row r="12">
      <c r="A12" s="18">
        <f>Input_Data!A12</f>
        <v/>
      </c>
      <c r="B12" s="19">
        <f>F11</f>
        <v/>
      </c>
      <c r="C12" s="19">
        <f>Input_Data!C12</f>
        <v/>
      </c>
      <c r="D12" s="19">
        <f>Input_Data!D12</f>
        <v/>
      </c>
      <c r="E12" s="19">
        <f>C12-D12</f>
        <v/>
      </c>
      <c r="F12" s="19">
        <f>B12+E12</f>
        <v/>
      </c>
      <c r="G12" s="20">
        <f>Input_Data!B12</f>
        <v/>
      </c>
      <c r="H12" s="21">
        <f>G12/G11-1</f>
        <v/>
      </c>
      <c r="I12" s="21" t="n"/>
      <c r="J12" s="22">
        <f>G12*12</f>
        <v/>
      </c>
      <c r="K12" s="20">
        <f>Input_Data!E12</f>
        <v/>
      </c>
      <c r="L12" s="20">
        <f>G12-K12</f>
        <v/>
      </c>
      <c r="M12" s="21">
        <f>L12/G12</f>
        <v/>
      </c>
      <c r="N12" s="20">
        <f>G12/F12</f>
        <v/>
      </c>
      <c r="O12" s="23">
        <f>D12/B12</f>
        <v/>
      </c>
      <c r="P12" s="20">
        <f>Input_Data!F12</f>
        <v/>
      </c>
      <c r="Q12" s="20">
        <f>P12/C12</f>
        <v/>
      </c>
      <c r="R12" s="20" t="n"/>
      <c r="S12" s="21" t="n"/>
      <c r="T12" s="23" t="n"/>
      <c r="U12" s="24" t="n"/>
      <c r="V12" s="20" t="n"/>
      <c r="W12" s="24" t="n"/>
      <c r="X12" s="24" t="n"/>
      <c r="Y12" s="20">
        <f>G12-K12-P12</f>
        <v/>
      </c>
      <c r="Z12" s="21">
        <f>Y12/G12</f>
        <v/>
      </c>
      <c r="AA12" s="19">
        <f>Input_Data!G12</f>
        <v/>
      </c>
      <c r="AB12" s="22">
        <f>J12/AA12</f>
        <v/>
      </c>
    </row>
    <row r="13">
      <c r="A13">
        <f>Input_Data!A13</f>
        <v/>
      </c>
      <c r="B13" s="12">
        <f>F12</f>
        <v/>
      </c>
      <c r="C13" s="12">
        <f>Input_Data!C13</f>
        <v/>
      </c>
      <c r="D13" s="12">
        <f>Input_Data!D13</f>
        <v/>
      </c>
      <c r="E13" s="12">
        <f>C13-D13</f>
        <v/>
      </c>
      <c r="F13" s="12">
        <f>B13+E13</f>
        <v/>
      </c>
      <c r="G13" s="13">
        <f>Input_Data!B13</f>
        <v/>
      </c>
      <c r="H13" s="14">
        <f>G13/G12-1</f>
        <v/>
      </c>
      <c r="I13" s="14" t="n"/>
      <c r="J13" s="15">
        <f>G13*12</f>
        <v/>
      </c>
      <c r="K13" s="13">
        <f>Input_Data!E13</f>
        <v/>
      </c>
      <c r="L13" s="13">
        <f>G13-K13</f>
        <v/>
      </c>
      <c r="M13" s="14">
        <f>L13/G13</f>
        <v/>
      </c>
      <c r="N13" s="13">
        <f>G13/F13</f>
        <v/>
      </c>
      <c r="O13" s="16">
        <f>D13/B13</f>
        <v/>
      </c>
      <c r="P13" s="13">
        <f>Input_Data!F13</f>
        <v/>
      </c>
      <c r="Q13" s="13">
        <f>P13/C13</f>
        <v/>
      </c>
      <c r="R13" s="13" t="n"/>
      <c r="S13" s="14" t="n"/>
      <c r="T13" s="16" t="n"/>
      <c r="U13" s="17" t="n"/>
      <c r="V13" s="13" t="n"/>
      <c r="W13" s="17" t="n"/>
      <c r="X13" s="17" t="n"/>
      <c r="Y13" s="13">
        <f>G13-K13-P13</f>
        <v/>
      </c>
      <c r="Z13" s="14">
        <f>Y13/G13</f>
        <v/>
      </c>
      <c r="AA13" s="12">
        <f>Input_Data!G13</f>
        <v/>
      </c>
      <c r="AB13" s="15">
        <f>J13/AA13</f>
        <v/>
      </c>
    </row>
    <row r="14">
      <c r="A14" s="18">
        <f>Input_Data!A14</f>
        <v/>
      </c>
      <c r="B14" s="19">
        <f>F13</f>
        <v/>
      </c>
      <c r="C14" s="19">
        <f>Input_Data!C14</f>
        <v/>
      </c>
      <c r="D14" s="19">
        <f>Input_Data!D14</f>
        <v/>
      </c>
      <c r="E14" s="19">
        <f>C14-D14</f>
        <v/>
      </c>
      <c r="F14" s="19">
        <f>B14+E14</f>
        <v/>
      </c>
      <c r="G14" s="20">
        <f>Input_Data!B14</f>
        <v/>
      </c>
      <c r="H14" s="21">
        <f>G14/G13-1</f>
        <v/>
      </c>
      <c r="I14" s="21" t="n"/>
      <c r="J14" s="22">
        <f>G14*12</f>
        <v/>
      </c>
      <c r="K14" s="20">
        <f>Input_Data!E14</f>
        <v/>
      </c>
      <c r="L14" s="20">
        <f>G14-K14</f>
        <v/>
      </c>
      <c r="M14" s="21">
        <f>L14/G14</f>
        <v/>
      </c>
      <c r="N14" s="20">
        <f>G14/F14</f>
        <v/>
      </c>
      <c r="O14" s="23">
        <f>D14/B14</f>
        <v/>
      </c>
      <c r="P14" s="20">
        <f>Input_Data!F14</f>
        <v/>
      </c>
      <c r="Q14" s="20">
        <f>P14/C14</f>
        <v/>
      </c>
      <c r="R14" s="20" t="n"/>
      <c r="S14" s="21" t="n"/>
      <c r="T14" s="23" t="n"/>
      <c r="U14" s="24" t="n"/>
      <c r="V14" s="20" t="n"/>
      <c r="W14" s="24" t="n"/>
      <c r="X14" s="24" t="n"/>
      <c r="Y14" s="20">
        <f>G14-K14-P14</f>
        <v/>
      </c>
      <c r="Z14" s="21">
        <f>Y14/G14</f>
        <v/>
      </c>
      <c r="AA14" s="19">
        <f>Input_Data!G14</f>
        <v/>
      </c>
      <c r="AB14" s="22">
        <f>J14/AA14</f>
        <v/>
      </c>
    </row>
    <row r="15">
      <c r="A15">
        <f>Input_Data!A15</f>
        <v/>
      </c>
      <c r="B15" s="12">
        <f>F14</f>
        <v/>
      </c>
      <c r="C15" s="12">
        <f>Input_Data!C15</f>
        <v/>
      </c>
      <c r="D15" s="12">
        <f>Input_Data!D15</f>
        <v/>
      </c>
      <c r="E15" s="12">
        <f>C15-D15</f>
        <v/>
      </c>
      <c r="F15" s="12">
        <f>B15+E15</f>
        <v/>
      </c>
      <c r="G15" s="13">
        <f>Input_Data!B15</f>
        <v/>
      </c>
      <c r="H15" s="14">
        <f>G15/G14-1</f>
        <v/>
      </c>
      <c r="I15" s="14" t="n"/>
      <c r="J15" s="15">
        <f>G15*12</f>
        <v/>
      </c>
      <c r="K15" s="13">
        <f>Input_Data!E15</f>
        <v/>
      </c>
      <c r="L15" s="13">
        <f>G15-K15</f>
        <v/>
      </c>
      <c r="M15" s="14">
        <f>L15/G15</f>
        <v/>
      </c>
      <c r="N15" s="13">
        <f>G15/F15</f>
        <v/>
      </c>
      <c r="O15" s="16">
        <f>D15/B15</f>
        <v/>
      </c>
      <c r="P15" s="13">
        <f>Input_Data!F15</f>
        <v/>
      </c>
      <c r="Q15" s="13">
        <f>P15/C15</f>
        <v/>
      </c>
      <c r="R15" s="13" t="n"/>
      <c r="S15" s="14" t="n"/>
      <c r="T15" s="16" t="n"/>
      <c r="U15" s="17" t="n"/>
      <c r="V15" s="13" t="n"/>
      <c r="W15" s="17" t="n"/>
      <c r="X15" s="17" t="n"/>
      <c r="Y15" s="13">
        <f>G15-K15-P15</f>
        <v/>
      </c>
      <c r="Z15" s="14">
        <f>Y15/G15</f>
        <v/>
      </c>
      <c r="AA15" s="12">
        <f>Input_Data!G15</f>
        <v/>
      </c>
      <c r="AB15" s="15">
        <f>J15/AA15</f>
        <v/>
      </c>
    </row>
    <row r="16">
      <c r="A16" s="18">
        <f>Input_Data!A16</f>
        <v/>
      </c>
      <c r="B16" s="19">
        <f>F15</f>
        <v/>
      </c>
      <c r="C16" s="19">
        <f>Input_Data!C16</f>
        <v/>
      </c>
      <c r="D16" s="19">
        <f>Input_Data!D16</f>
        <v/>
      </c>
      <c r="E16" s="19">
        <f>C16-D16</f>
        <v/>
      </c>
      <c r="F16" s="19">
        <f>B16+E16</f>
        <v/>
      </c>
      <c r="G16" s="20">
        <f>Input_Data!B16</f>
        <v/>
      </c>
      <c r="H16" s="21">
        <f>G16/G15-1</f>
        <v/>
      </c>
      <c r="I16" s="21" t="n"/>
      <c r="J16" s="22">
        <f>G16*12</f>
        <v/>
      </c>
      <c r="K16" s="20">
        <f>Input_Data!E16</f>
        <v/>
      </c>
      <c r="L16" s="20">
        <f>G16-K16</f>
        <v/>
      </c>
      <c r="M16" s="21">
        <f>L16/G16</f>
        <v/>
      </c>
      <c r="N16" s="20">
        <f>G16/F16</f>
        <v/>
      </c>
      <c r="O16" s="23">
        <f>D16/B16</f>
        <v/>
      </c>
      <c r="P16" s="20">
        <f>Input_Data!F16</f>
        <v/>
      </c>
      <c r="Q16" s="20">
        <f>P16/C16</f>
        <v/>
      </c>
      <c r="R16" s="20">
        <f>SUM(P5:P16)/SUM(C5:C16)</f>
        <v/>
      </c>
      <c r="S16" s="21">
        <f>(SUM(G5:G16)-SUM(K5:K16))/SUM(G5:G16)</f>
        <v/>
      </c>
      <c r="T16" s="23">
        <f>SUM(D5:D16)/SUM(B5:B16)</f>
        <v/>
      </c>
      <c r="U16" s="24">
        <f>1/T16</f>
        <v/>
      </c>
      <c r="V16" s="20">
        <f>N16*S16/T16</f>
        <v/>
      </c>
      <c r="W16" s="24">
        <f>V16/R16</f>
        <v/>
      </c>
      <c r="X16" s="24">
        <f>R16/(N16*S16)</f>
        <v/>
      </c>
      <c r="Y16" s="20">
        <f>G16-K16-P16</f>
        <v/>
      </c>
      <c r="Z16" s="21">
        <f>Y16/G16</f>
        <v/>
      </c>
      <c r="AA16" s="19">
        <f>Input_Data!G16</f>
        <v/>
      </c>
      <c r="AB16" s="22">
        <f>J16/AA16</f>
        <v/>
      </c>
    </row>
    <row r="17">
      <c r="A17">
        <f>Input_Data!A17</f>
        <v/>
      </c>
      <c r="B17" s="12">
        <f>F16</f>
        <v/>
      </c>
      <c r="C17" s="12">
        <f>Input_Data!C17</f>
        <v/>
      </c>
      <c r="D17" s="12">
        <f>Input_Data!D17</f>
        <v/>
      </c>
      <c r="E17" s="12">
        <f>C17-D17</f>
        <v/>
      </c>
      <c r="F17" s="12">
        <f>B17+E17</f>
        <v/>
      </c>
      <c r="G17" s="13">
        <f>Input_Data!B17</f>
        <v/>
      </c>
      <c r="H17" s="14">
        <f>G17/G16-1</f>
        <v/>
      </c>
      <c r="I17" s="14">
        <f>G17/G5-1</f>
        <v/>
      </c>
      <c r="J17" s="15">
        <f>G17*12</f>
        <v/>
      </c>
      <c r="K17" s="13">
        <f>Input_Data!E17</f>
        <v/>
      </c>
      <c r="L17" s="13">
        <f>G17-K17</f>
        <v/>
      </c>
      <c r="M17" s="14">
        <f>L17/G17</f>
        <v/>
      </c>
      <c r="N17" s="13">
        <f>G17/F17</f>
        <v/>
      </c>
      <c r="O17" s="16">
        <f>D17/B17</f>
        <v/>
      </c>
      <c r="P17" s="13">
        <f>Input_Data!F17</f>
        <v/>
      </c>
      <c r="Q17" s="13">
        <f>P17/C17</f>
        <v/>
      </c>
      <c r="R17" s="13">
        <f>SUM(P6:P17)/SUM(C6:C17)</f>
        <v/>
      </c>
      <c r="S17" s="14">
        <f>(SUM(G6:G17)-SUM(K6:K17))/SUM(G6:G17)</f>
        <v/>
      </c>
      <c r="T17" s="16">
        <f>SUM(D6:D17)/SUM(B6:B17)</f>
        <v/>
      </c>
      <c r="U17" s="17">
        <f>1/T17</f>
        <v/>
      </c>
      <c r="V17" s="13">
        <f>N17*S17/T17</f>
        <v/>
      </c>
      <c r="W17" s="17">
        <f>V17/R17</f>
        <v/>
      </c>
      <c r="X17" s="17">
        <f>R17/(N17*S17)</f>
        <v/>
      </c>
      <c r="Y17" s="13">
        <f>G17-K17-P17</f>
        <v/>
      </c>
      <c r="Z17" s="14">
        <f>Y17/G17</f>
        <v/>
      </c>
      <c r="AA17" s="12">
        <f>Input_Data!G17</f>
        <v/>
      </c>
      <c r="AB17" s="15">
        <f>J17/AA17</f>
        <v/>
      </c>
    </row>
    <row r="18">
      <c r="A18" s="18">
        <f>Input_Data!A18</f>
        <v/>
      </c>
      <c r="B18" s="19">
        <f>F17</f>
        <v/>
      </c>
      <c r="C18" s="19">
        <f>Input_Data!C18</f>
        <v/>
      </c>
      <c r="D18" s="19">
        <f>Input_Data!D18</f>
        <v/>
      </c>
      <c r="E18" s="19">
        <f>C18-D18</f>
        <v/>
      </c>
      <c r="F18" s="19">
        <f>B18+E18</f>
        <v/>
      </c>
      <c r="G18" s="20">
        <f>Input_Data!B18</f>
        <v/>
      </c>
      <c r="H18" s="21">
        <f>G18/G17-1</f>
        <v/>
      </c>
      <c r="I18" s="21">
        <f>G18/G6-1</f>
        <v/>
      </c>
      <c r="J18" s="22">
        <f>G18*12</f>
        <v/>
      </c>
      <c r="K18" s="20">
        <f>Input_Data!E18</f>
        <v/>
      </c>
      <c r="L18" s="20">
        <f>G18-K18</f>
        <v/>
      </c>
      <c r="M18" s="21">
        <f>L18/G18</f>
        <v/>
      </c>
      <c r="N18" s="20">
        <f>G18/F18</f>
        <v/>
      </c>
      <c r="O18" s="23">
        <f>D18/B18</f>
        <v/>
      </c>
      <c r="P18" s="20">
        <f>Input_Data!F18</f>
        <v/>
      </c>
      <c r="Q18" s="20">
        <f>P18/C18</f>
        <v/>
      </c>
      <c r="R18" s="20">
        <f>SUM(P7:P18)/SUM(C7:C18)</f>
        <v/>
      </c>
      <c r="S18" s="21">
        <f>(SUM(G7:G18)-SUM(K7:K18))/SUM(G7:G18)</f>
        <v/>
      </c>
      <c r="T18" s="23">
        <f>SUM(D7:D18)/SUM(B7:B18)</f>
        <v/>
      </c>
      <c r="U18" s="24">
        <f>1/T18</f>
        <v/>
      </c>
      <c r="V18" s="20">
        <f>N18*S18/T18</f>
        <v/>
      </c>
      <c r="W18" s="24">
        <f>V18/R18</f>
        <v/>
      </c>
      <c r="X18" s="24">
        <f>R18/(N18*S18)</f>
        <v/>
      </c>
      <c r="Y18" s="20">
        <f>G18-K18-P18</f>
        <v/>
      </c>
      <c r="Z18" s="21">
        <f>Y18/G18</f>
        <v/>
      </c>
      <c r="AA18" s="19">
        <f>Input_Data!G18</f>
        <v/>
      </c>
      <c r="AB18" s="22">
        <f>J18/AA18</f>
        <v/>
      </c>
    </row>
    <row r="19">
      <c r="A19">
        <f>Input_Data!A19</f>
        <v/>
      </c>
      <c r="B19" s="12">
        <f>F18</f>
        <v/>
      </c>
      <c r="C19" s="12">
        <f>Input_Data!C19</f>
        <v/>
      </c>
      <c r="D19" s="12">
        <f>Input_Data!D19</f>
        <v/>
      </c>
      <c r="E19" s="12">
        <f>C19-D19</f>
        <v/>
      </c>
      <c r="F19" s="12">
        <f>B19+E19</f>
        <v/>
      </c>
      <c r="G19" s="13">
        <f>Input_Data!B19</f>
        <v/>
      </c>
      <c r="H19" s="14">
        <f>G19/G18-1</f>
        <v/>
      </c>
      <c r="I19" s="14">
        <f>G19/G7-1</f>
        <v/>
      </c>
      <c r="J19" s="15">
        <f>G19*12</f>
        <v/>
      </c>
      <c r="K19" s="13">
        <f>Input_Data!E19</f>
        <v/>
      </c>
      <c r="L19" s="13">
        <f>G19-K19</f>
        <v/>
      </c>
      <c r="M19" s="14">
        <f>L19/G19</f>
        <v/>
      </c>
      <c r="N19" s="13">
        <f>G19/F19</f>
        <v/>
      </c>
      <c r="O19" s="16">
        <f>D19/B19</f>
        <v/>
      </c>
      <c r="P19" s="13">
        <f>Input_Data!F19</f>
        <v/>
      </c>
      <c r="Q19" s="13">
        <f>P19/C19</f>
        <v/>
      </c>
      <c r="R19" s="13">
        <f>SUM(P8:P19)/SUM(C8:C19)</f>
        <v/>
      </c>
      <c r="S19" s="14">
        <f>(SUM(G8:G19)-SUM(K8:K19))/SUM(G8:G19)</f>
        <v/>
      </c>
      <c r="T19" s="16">
        <f>SUM(D8:D19)/SUM(B8:B19)</f>
        <v/>
      </c>
      <c r="U19" s="17">
        <f>1/T19</f>
        <v/>
      </c>
      <c r="V19" s="13">
        <f>N19*S19/T19</f>
        <v/>
      </c>
      <c r="W19" s="17">
        <f>V19/R19</f>
        <v/>
      </c>
      <c r="X19" s="17">
        <f>R19/(N19*S19)</f>
        <v/>
      </c>
      <c r="Y19" s="13">
        <f>G19-K19-P19</f>
        <v/>
      </c>
      <c r="Z19" s="14">
        <f>Y19/G19</f>
        <v/>
      </c>
      <c r="AA19" s="12">
        <f>Input_Data!G19</f>
        <v/>
      </c>
      <c r="AB19" s="15">
        <f>J19/AA19</f>
        <v/>
      </c>
    </row>
    <row r="20">
      <c r="A20" s="18">
        <f>Input_Data!A20</f>
        <v/>
      </c>
      <c r="B20" s="19">
        <f>F19</f>
        <v/>
      </c>
      <c r="C20" s="19">
        <f>Input_Data!C20</f>
        <v/>
      </c>
      <c r="D20" s="19">
        <f>Input_Data!D20</f>
        <v/>
      </c>
      <c r="E20" s="19">
        <f>C20-D20</f>
        <v/>
      </c>
      <c r="F20" s="19">
        <f>B20+E20</f>
        <v/>
      </c>
      <c r="G20" s="20">
        <f>Input_Data!B20</f>
        <v/>
      </c>
      <c r="H20" s="21">
        <f>G20/G19-1</f>
        <v/>
      </c>
      <c r="I20" s="21">
        <f>G20/G8-1</f>
        <v/>
      </c>
      <c r="J20" s="22">
        <f>G20*12</f>
        <v/>
      </c>
      <c r="K20" s="20">
        <f>Input_Data!E20</f>
        <v/>
      </c>
      <c r="L20" s="20">
        <f>G20-K20</f>
        <v/>
      </c>
      <c r="M20" s="21">
        <f>L20/G20</f>
        <v/>
      </c>
      <c r="N20" s="20">
        <f>G20/F20</f>
        <v/>
      </c>
      <c r="O20" s="23">
        <f>D20/B20</f>
        <v/>
      </c>
      <c r="P20" s="20">
        <f>Input_Data!F20</f>
        <v/>
      </c>
      <c r="Q20" s="20">
        <f>P20/C20</f>
        <v/>
      </c>
      <c r="R20" s="20">
        <f>SUM(P9:P20)/SUM(C9:C20)</f>
        <v/>
      </c>
      <c r="S20" s="21">
        <f>(SUM(G9:G20)-SUM(K9:K20))/SUM(G9:G20)</f>
        <v/>
      </c>
      <c r="T20" s="23">
        <f>SUM(D9:D20)/SUM(B9:B20)</f>
        <v/>
      </c>
      <c r="U20" s="24">
        <f>1/T20</f>
        <v/>
      </c>
      <c r="V20" s="20">
        <f>N20*S20/T20</f>
        <v/>
      </c>
      <c r="W20" s="24">
        <f>V20/R20</f>
        <v/>
      </c>
      <c r="X20" s="24">
        <f>R20/(N20*S20)</f>
        <v/>
      </c>
      <c r="Y20" s="20">
        <f>G20-K20-P20</f>
        <v/>
      </c>
      <c r="Z20" s="21">
        <f>Y20/G20</f>
        <v/>
      </c>
      <c r="AA20" s="19">
        <f>Input_Data!G20</f>
        <v/>
      </c>
      <c r="AB20" s="22">
        <f>J20/AA20</f>
        <v/>
      </c>
    </row>
    <row r="21">
      <c r="A21">
        <f>Input_Data!A21</f>
        <v/>
      </c>
      <c r="B21" s="12">
        <f>F20</f>
        <v/>
      </c>
      <c r="C21" s="12">
        <f>Input_Data!C21</f>
        <v/>
      </c>
      <c r="D21" s="12">
        <f>Input_Data!D21</f>
        <v/>
      </c>
      <c r="E21" s="12">
        <f>C21-D21</f>
        <v/>
      </c>
      <c r="F21" s="12">
        <f>B21+E21</f>
        <v/>
      </c>
      <c r="G21" s="13">
        <f>Input_Data!B21</f>
        <v/>
      </c>
      <c r="H21" s="14">
        <f>G21/G20-1</f>
        <v/>
      </c>
      <c r="I21" s="14">
        <f>G21/G9-1</f>
        <v/>
      </c>
      <c r="J21" s="15">
        <f>G21*12</f>
        <v/>
      </c>
      <c r="K21" s="13">
        <f>Input_Data!E21</f>
        <v/>
      </c>
      <c r="L21" s="13">
        <f>G21-K21</f>
        <v/>
      </c>
      <c r="M21" s="14">
        <f>L21/G21</f>
        <v/>
      </c>
      <c r="N21" s="13">
        <f>G21/F21</f>
        <v/>
      </c>
      <c r="O21" s="16">
        <f>D21/B21</f>
        <v/>
      </c>
      <c r="P21" s="13">
        <f>Input_Data!F21</f>
        <v/>
      </c>
      <c r="Q21" s="13">
        <f>P21/C21</f>
        <v/>
      </c>
      <c r="R21" s="13">
        <f>SUM(P10:P21)/SUM(C10:C21)</f>
        <v/>
      </c>
      <c r="S21" s="14">
        <f>(SUM(G10:G21)-SUM(K10:K21))/SUM(G10:G21)</f>
        <v/>
      </c>
      <c r="T21" s="16">
        <f>SUM(D10:D21)/SUM(B10:B21)</f>
        <v/>
      </c>
      <c r="U21" s="17">
        <f>1/T21</f>
        <v/>
      </c>
      <c r="V21" s="13">
        <f>N21*S21/T21</f>
        <v/>
      </c>
      <c r="W21" s="17">
        <f>V21/R21</f>
        <v/>
      </c>
      <c r="X21" s="17">
        <f>R21/(N21*S21)</f>
        <v/>
      </c>
      <c r="Y21" s="13">
        <f>G21-K21-P21</f>
        <v/>
      </c>
      <c r="Z21" s="14">
        <f>Y21/G21</f>
        <v/>
      </c>
      <c r="AA21" s="12">
        <f>Input_Data!G21</f>
        <v/>
      </c>
      <c r="AB21" s="15">
        <f>J21/AA21</f>
        <v/>
      </c>
    </row>
    <row r="22">
      <c r="A22" s="18">
        <f>Input_Data!A22</f>
        <v/>
      </c>
      <c r="B22" s="19">
        <f>F21</f>
        <v/>
      </c>
      <c r="C22" s="19">
        <f>Input_Data!C22</f>
        <v/>
      </c>
      <c r="D22" s="19">
        <f>Input_Data!D22</f>
        <v/>
      </c>
      <c r="E22" s="19">
        <f>C22-D22</f>
        <v/>
      </c>
      <c r="F22" s="19">
        <f>B22+E22</f>
        <v/>
      </c>
      <c r="G22" s="20">
        <f>Input_Data!B22</f>
        <v/>
      </c>
      <c r="H22" s="21">
        <f>G22/G21-1</f>
        <v/>
      </c>
      <c r="I22" s="21">
        <f>G22/G10-1</f>
        <v/>
      </c>
      <c r="J22" s="22">
        <f>G22*12</f>
        <v/>
      </c>
      <c r="K22" s="20">
        <f>Input_Data!E22</f>
        <v/>
      </c>
      <c r="L22" s="20">
        <f>G22-K22</f>
        <v/>
      </c>
      <c r="M22" s="21">
        <f>L22/G22</f>
        <v/>
      </c>
      <c r="N22" s="20">
        <f>G22/F22</f>
        <v/>
      </c>
      <c r="O22" s="23">
        <f>D22/B22</f>
        <v/>
      </c>
      <c r="P22" s="20">
        <f>Input_Data!F22</f>
        <v/>
      </c>
      <c r="Q22" s="20">
        <f>P22/C22</f>
        <v/>
      </c>
      <c r="R22" s="20">
        <f>SUM(P11:P22)/SUM(C11:C22)</f>
        <v/>
      </c>
      <c r="S22" s="21">
        <f>(SUM(G11:G22)-SUM(K11:K22))/SUM(G11:G22)</f>
        <v/>
      </c>
      <c r="T22" s="23">
        <f>SUM(D11:D22)/SUM(B11:B22)</f>
        <v/>
      </c>
      <c r="U22" s="24">
        <f>1/T22</f>
        <v/>
      </c>
      <c r="V22" s="20">
        <f>N22*S22/T22</f>
        <v/>
      </c>
      <c r="W22" s="24">
        <f>V22/R22</f>
        <v/>
      </c>
      <c r="X22" s="24">
        <f>R22/(N22*S22)</f>
        <v/>
      </c>
      <c r="Y22" s="20">
        <f>G22-K22-P22</f>
        <v/>
      </c>
      <c r="Z22" s="21">
        <f>Y22/G22</f>
        <v/>
      </c>
      <c r="AA22" s="19">
        <f>Input_Data!G22</f>
        <v/>
      </c>
      <c r="AB22" s="22">
        <f>J22/AA22</f>
        <v/>
      </c>
    </row>
    <row r="23">
      <c r="A23">
        <f>Input_Data!A23</f>
        <v/>
      </c>
      <c r="B23" s="12">
        <f>F22</f>
        <v/>
      </c>
      <c r="C23" s="12">
        <f>Input_Data!C23</f>
        <v/>
      </c>
      <c r="D23" s="12">
        <f>Input_Data!D23</f>
        <v/>
      </c>
      <c r="E23" s="12">
        <f>C23-D23</f>
        <v/>
      </c>
      <c r="F23" s="12">
        <f>B23+E23</f>
        <v/>
      </c>
      <c r="G23" s="13">
        <f>Input_Data!B23</f>
        <v/>
      </c>
      <c r="H23" s="14">
        <f>G23/G22-1</f>
        <v/>
      </c>
      <c r="I23" s="14">
        <f>G23/G11-1</f>
        <v/>
      </c>
      <c r="J23" s="15">
        <f>G23*12</f>
        <v/>
      </c>
      <c r="K23" s="13">
        <f>Input_Data!E23</f>
        <v/>
      </c>
      <c r="L23" s="13">
        <f>G23-K23</f>
        <v/>
      </c>
      <c r="M23" s="14">
        <f>L23/G23</f>
        <v/>
      </c>
      <c r="N23" s="13">
        <f>G23/F23</f>
        <v/>
      </c>
      <c r="O23" s="16">
        <f>D23/B23</f>
        <v/>
      </c>
      <c r="P23" s="13">
        <f>Input_Data!F23</f>
        <v/>
      </c>
      <c r="Q23" s="13">
        <f>P23/C23</f>
        <v/>
      </c>
      <c r="R23" s="13">
        <f>SUM(P12:P23)/SUM(C12:C23)</f>
        <v/>
      </c>
      <c r="S23" s="14">
        <f>(SUM(G12:G23)-SUM(K12:K23))/SUM(G12:G23)</f>
        <v/>
      </c>
      <c r="T23" s="16">
        <f>SUM(D12:D23)/SUM(B12:B23)</f>
        <v/>
      </c>
      <c r="U23" s="17">
        <f>1/T23</f>
        <v/>
      </c>
      <c r="V23" s="13">
        <f>N23*S23/T23</f>
        <v/>
      </c>
      <c r="W23" s="17">
        <f>V23/R23</f>
        <v/>
      </c>
      <c r="X23" s="17">
        <f>R23/(N23*S23)</f>
        <v/>
      </c>
      <c r="Y23" s="13">
        <f>G23-K23-P23</f>
        <v/>
      </c>
      <c r="Z23" s="14">
        <f>Y23/G23</f>
        <v/>
      </c>
      <c r="AA23" s="12">
        <f>Input_Data!G23</f>
        <v/>
      </c>
      <c r="AB23" s="15">
        <f>J23/AA23</f>
        <v/>
      </c>
    </row>
    <row r="24">
      <c r="A24" s="18">
        <f>Input_Data!A24</f>
        <v/>
      </c>
      <c r="B24" s="19">
        <f>F23</f>
        <v/>
      </c>
      <c r="C24" s="19">
        <f>Input_Data!C24</f>
        <v/>
      </c>
      <c r="D24" s="19">
        <f>Input_Data!D24</f>
        <v/>
      </c>
      <c r="E24" s="19">
        <f>C24-D24</f>
        <v/>
      </c>
      <c r="F24" s="19">
        <f>B24+E24</f>
        <v/>
      </c>
      <c r="G24" s="20">
        <f>Input_Data!B24</f>
        <v/>
      </c>
      <c r="H24" s="21">
        <f>G24/G23-1</f>
        <v/>
      </c>
      <c r="I24" s="21">
        <f>G24/G12-1</f>
        <v/>
      </c>
      <c r="J24" s="22">
        <f>G24*12</f>
        <v/>
      </c>
      <c r="K24" s="20">
        <f>Input_Data!E24</f>
        <v/>
      </c>
      <c r="L24" s="20">
        <f>G24-K24</f>
        <v/>
      </c>
      <c r="M24" s="21">
        <f>L24/G24</f>
        <v/>
      </c>
      <c r="N24" s="20">
        <f>G24/F24</f>
        <v/>
      </c>
      <c r="O24" s="23">
        <f>D24/B24</f>
        <v/>
      </c>
      <c r="P24" s="20">
        <f>Input_Data!F24</f>
        <v/>
      </c>
      <c r="Q24" s="20">
        <f>P24/C24</f>
        <v/>
      </c>
      <c r="R24" s="20">
        <f>SUM(P13:P24)/SUM(C13:C24)</f>
        <v/>
      </c>
      <c r="S24" s="21">
        <f>(SUM(G13:G24)-SUM(K13:K24))/SUM(G13:G24)</f>
        <v/>
      </c>
      <c r="T24" s="23">
        <f>SUM(D13:D24)/SUM(B13:B24)</f>
        <v/>
      </c>
      <c r="U24" s="24">
        <f>1/T24</f>
        <v/>
      </c>
      <c r="V24" s="20">
        <f>N24*S24/T24</f>
        <v/>
      </c>
      <c r="W24" s="24">
        <f>V24/R24</f>
        <v/>
      </c>
      <c r="X24" s="24">
        <f>R24/(N24*S24)</f>
        <v/>
      </c>
      <c r="Y24" s="20">
        <f>G24-K24-P24</f>
        <v/>
      </c>
      <c r="Z24" s="21">
        <f>Y24/G24</f>
        <v/>
      </c>
      <c r="AA24" s="19">
        <f>Input_Data!G24</f>
        <v/>
      </c>
      <c r="AB24" s="22">
        <f>J24/AA24</f>
        <v/>
      </c>
    </row>
    <row r="25">
      <c r="A25">
        <f>Input_Data!A25</f>
        <v/>
      </c>
      <c r="B25" s="12">
        <f>F24</f>
        <v/>
      </c>
      <c r="C25" s="12">
        <f>Input_Data!C25</f>
        <v/>
      </c>
      <c r="D25" s="12">
        <f>Input_Data!D25</f>
        <v/>
      </c>
      <c r="E25" s="12">
        <f>C25-D25</f>
        <v/>
      </c>
      <c r="F25" s="12">
        <f>B25+E25</f>
        <v/>
      </c>
      <c r="G25" s="13">
        <f>Input_Data!B25</f>
        <v/>
      </c>
      <c r="H25" s="14">
        <f>G25/G24-1</f>
        <v/>
      </c>
      <c r="I25" s="14">
        <f>G25/G13-1</f>
        <v/>
      </c>
      <c r="J25" s="15">
        <f>G25*12</f>
        <v/>
      </c>
      <c r="K25" s="13">
        <f>Input_Data!E25</f>
        <v/>
      </c>
      <c r="L25" s="13">
        <f>G25-K25</f>
        <v/>
      </c>
      <c r="M25" s="14">
        <f>L25/G25</f>
        <v/>
      </c>
      <c r="N25" s="13">
        <f>G25/F25</f>
        <v/>
      </c>
      <c r="O25" s="16">
        <f>D25/B25</f>
        <v/>
      </c>
      <c r="P25" s="13">
        <f>Input_Data!F25</f>
        <v/>
      </c>
      <c r="Q25" s="13">
        <f>P25/C25</f>
        <v/>
      </c>
      <c r="R25" s="13">
        <f>SUM(P14:P25)/SUM(C14:C25)</f>
        <v/>
      </c>
      <c r="S25" s="14">
        <f>(SUM(G14:G25)-SUM(K14:K25))/SUM(G14:G25)</f>
        <v/>
      </c>
      <c r="T25" s="16">
        <f>SUM(D14:D25)/SUM(B14:B25)</f>
        <v/>
      </c>
      <c r="U25" s="17">
        <f>1/T25</f>
        <v/>
      </c>
      <c r="V25" s="13">
        <f>N25*S25/T25</f>
        <v/>
      </c>
      <c r="W25" s="17">
        <f>V25/R25</f>
        <v/>
      </c>
      <c r="X25" s="17">
        <f>R25/(N25*S25)</f>
        <v/>
      </c>
      <c r="Y25" s="13">
        <f>G25-K25-P25</f>
        <v/>
      </c>
      <c r="Z25" s="14">
        <f>Y25/G25</f>
        <v/>
      </c>
      <c r="AA25" s="12">
        <f>Input_Data!G25</f>
        <v/>
      </c>
      <c r="AB25" s="15">
        <f>J25/AA25</f>
        <v/>
      </c>
    </row>
    <row r="26">
      <c r="A26" s="18">
        <f>Input_Data!A26</f>
        <v/>
      </c>
      <c r="B26" s="19">
        <f>F25</f>
        <v/>
      </c>
      <c r="C26" s="19">
        <f>Input_Data!C26</f>
        <v/>
      </c>
      <c r="D26" s="19">
        <f>Input_Data!D26</f>
        <v/>
      </c>
      <c r="E26" s="19">
        <f>C26-D26</f>
        <v/>
      </c>
      <c r="F26" s="19">
        <f>B26+E26</f>
        <v/>
      </c>
      <c r="G26" s="20">
        <f>Input_Data!B26</f>
        <v/>
      </c>
      <c r="H26" s="21">
        <f>G26/G25-1</f>
        <v/>
      </c>
      <c r="I26" s="21">
        <f>G26/G14-1</f>
        <v/>
      </c>
      <c r="J26" s="22">
        <f>G26*12</f>
        <v/>
      </c>
      <c r="K26" s="20">
        <f>Input_Data!E26</f>
        <v/>
      </c>
      <c r="L26" s="20">
        <f>G26-K26</f>
        <v/>
      </c>
      <c r="M26" s="21">
        <f>L26/G26</f>
        <v/>
      </c>
      <c r="N26" s="20">
        <f>G26/F26</f>
        <v/>
      </c>
      <c r="O26" s="23">
        <f>D26/B26</f>
        <v/>
      </c>
      <c r="P26" s="20">
        <f>Input_Data!F26</f>
        <v/>
      </c>
      <c r="Q26" s="20">
        <f>P26/C26</f>
        <v/>
      </c>
      <c r="R26" s="20">
        <f>SUM(P15:P26)/SUM(C15:C26)</f>
        <v/>
      </c>
      <c r="S26" s="21">
        <f>(SUM(G15:G26)-SUM(K15:K26))/SUM(G15:G26)</f>
        <v/>
      </c>
      <c r="T26" s="23">
        <f>SUM(D15:D26)/SUM(B15:B26)</f>
        <v/>
      </c>
      <c r="U26" s="24">
        <f>1/T26</f>
        <v/>
      </c>
      <c r="V26" s="20">
        <f>N26*S26/T26</f>
        <v/>
      </c>
      <c r="W26" s="24">
        <f>V26/R26</f>
        <v/>
      </c>
      <c r="X26" s="24">
        <f>R26/(N26*S26)</f>
        <v/>
      </c>
      <c r="Y26" s="20">
        <f>G26-K26-P26</f>
        <v/>
      </c>
      <c r="Z26" s="21">
        <f>Y26/G26</f>
        <v/>
      </c>
      <c r="AA26" s="19">
        <f>Input_Data!G26</f>
        <v/>
      </c>
      <c r="AB26" s="22">
        <f>J26/AA26</f>
        <v/>
      </c>
    </row>
    <row r="27">
      <c r="A27">
        <f>Input_Data!A27</f>
        <v/>
      </c>
      <c r="B27" s="12">
        <f>F26</f>
        <v/>
      </c>
      <c r="C27" s="12">
        <f>Input_Data!C27</f>
        <v/>
      </c>
      <c r="D27" s="12">
        <f>Input_Data!D27</f>
        <v/>
      </c>
      <c r="E27" s="12">
        <f>C27-D27</f>
        <v/>
      </c>
      <c r="F27" s="12">
        <f>B27+E27</f>
        <v/>
      </c>
      <c r="G27" s="13">
        <f>Input_Data!B27</f>
        <v/>
      </c>
      <c r="H27" s="14">
        <f>G27/G26-1</f>
        <v/>
      </c>
      <c r="I27" s="14">
        <f>G27/G15-1</f>
        <v/>
      </c>
      <c r="J27" s="15">
        <f>G27*12</f>
        <v/>
      </c>
      <c r="K27" s="13">
        <f>Input_Data!E27</f>
        <v/>
      </c>
      <c r="L27" s="13">
        <f>G27-K27</f>
        <v/>
      </c>
      <c r="M27" s="14">
        <f>L27/G27</f>
        <v/>
      </c>
      <c r="N27" s="13">
        <f>G27/F27</f>
        <v/>
      </c>
      <c r="O27" s="16">
        <f>D27/B27</f>
        <v/>
      </c>
      <c r="P27" s="13">
        <f>Input_Data!F27</f>
        <v/>
      </c>
      <c r="Q27" s="13">
        <f>P27/C27</f>
        <v/>
      </c>
      <c r="R27" s="13">
        <f>SUM(P16:P27)/SUM(C16:C27)</f>
        <v/>
      </c>
      <c r="S27" s="14">
        <f>(SUM(G16:G27)-SUM(K16:K27))/SUM(G16:G27)</f>
        <v/>
      </c>
      <c r="T27" s="16">
        <f>SUM(D16:D27)/SUM(B16:B27)</f>
        <v/>
      </c>
      <c r="U27" s="17">
        <f>1/T27</f>
        <v/>
      </c>
      <c r="V27" s="13">
        <f>N27*S27/T27</f>
        <v/>
      </c>
      <c r="W27" s="17">
        <f>V27/R27</f>
        <v/>
      </c>
      <c r="X27" s="17">
        <f>R27/(N27*S27)</f>
        <v/>
      </c>
      <c r="Y27" s="13">
        <f>G27-K27-P27</f>
        <v/>
      </c>
      <c r="Z27" s="14">
        <f>Y27/G27</f>
        <v/>
      </c>
      <c r="AA27" s="12">
        <f>Input_Data!G27</f>
        <v/>
      </c>
      <c r="AB27" s="15">
        <f>J27/AA27</f>
        <v/>
      </c>
    </row>
    <row r="28">
      <c r="A28" s="18">
        <f>Input_Data!A28</f>
        <v/>
      </c>
      <c r="B28" s="19">
        <f>F27</f>
        <v/>
      </c>
      <c r="C28" s="19">
        <f>Input_Data!C28</f>
        <v/>
      </c>
      <c r="D28" s="19">
        <f>Input_Data!D28</f>
        <v/>
      </c>
      <c r="E28" s="19">
        <f>C28-D28</f>
        <v/>
      </c>
      <c r="F28" s="19">
        <f>B28+E28</f>
        <v/>
      </c>
      <c r="G28" s="20">
        <f>Input_Data!B28</f>
        <v/>
      </c>
      <c r="H28" s="21">
        <f>G28/G27-1</f>
        <v/>
      </c>
      <c r="I28" s="21">
        <f>G28/G16-1</f>
        <v/>
      </c>
      <c r="J28" s="22">
        <f>G28*12</f>
        <v/>
      </c>
      <c r="K28" s="20">
        <f>Input_Data!E28</f>
        <v/>
      </c>
      <c r="L28" s="20">
        <f>G28-K28</f>
        <v/>
      </c>
      <c r="M28" s="21">
        <f>L28/G28</f>
        <v/>
      </c>
      <c r="N28" s="20">
        <f>G28/F28</f>
        <v/>
      </c>
      <c r="O28" s="23">
        <f>D28/B28</f>
        <v/>
      </c>
      <c r="P28" s="20">
        <f>Input_Data!F28</f>
        <v/>
      </c>
      <c r="Q28" s="20">
        <f>P28/C28</f>
        <v/>
      </c>
      <c r="R28" s="20">
        <f>SUM(P17:P28)/SUM(C17:C28)</f>
        <v/>
      </c>
      <c r="S28" s="21">
        <f>(SUM(G17:G28)-SUM(K17:K28))/SUM(G17:G28)</f>
        <v/>
      </c>
      <c r="T28" s="23">
        <f>SUM(D17:D28)/SUM(B17:B28)</f>
        <v/>
      </c>
      <c r="U28" s="24">
        <f>1/T28</f>
        <v/>
      </c>
      <c r="V28" s="20">
        <f>N28*S28/T28</f>
        <v/>
      </c>
      <c r="W28" s="24">
        <f>V28/R28</f>
        <v/>
      </c>
      <c r="X28" s="24">
        <f>R28/(N28*S28)</f>
        <v/>
      </c>
      <c r="Y28" s="20">
        <f>G28-K28-P28</f>
        <v/>
      </c>
      <c r="Z28" s="21">
        <f>Y28/G28</f>
        <v/>
      </c>
      <c r="AA28" s="19">
        <f>Input_Data!G28</f>
        <v/>
      </c>
      <c r="AB28" s="22">
        <f>J28/AA28</f>
        <v/>
      </c>
    </row>
    <row r="29">
      <c r="A29">
        <f>Input_Data!A29</f>
        <v/>
      </c>
      <c r="B29" s="12">
        <f>F28</f>
        <v/>
      </c>
      <c r="C29" s="12">
        <f>Input_Data!C29</f>
        <v/>
      </c>
      <c r="D29" s="12">
        <f>Input_Data!D29</f>
        <v/>
      </c>
      <c r="E29" s="12">
        <f>C29-D29</f>
        <v/>
      </c>
      <c r="F29" s="12">
        <f>B29+E29</f>
        <v/>
      </c>
      <c r="G29" s="13">
        <f>Input_Data!B29</f>
        <v/>
      </c>
      <c r="H29" s="14">
        <f>G29/G28-1</f>
        <v/>
      </c>
      <c r="I29" s="14">
        <f>G29/G17-1</f>
        <v/>
      </c>
      <c r="J29" s="15">
        <f>G29*12</f>
        <v/>
      </c>
      <c r="K29" s="13">
        <f>Input_Data!E29</f>
        <v/>
      </c>
      <c r="L29" s="13">
        <f>G29-K29</f>
        <v/>
      </c>
      <c r="M29" s="14">
        <f>L29/G29</f>
        <v/>
      </c>
      <c r="N29" s="13">
        <f>G29/F29</f>
        <v/>
      </c>
      <c r="O29" s="16">
        <f>D29/B29</f>
        <v/>
      </c>
      <c r="P29" s="13">
        <f>Input_Data!F29</f>
        <v/>
      </c>
      <c r="Q29" s="13">
        <f>P29/C29</f>
        <v/>
      </c>
      <c r="R29" s="13">
        <f>SUM(P18:P29)/SUM(C18:C29)</f>
        <v/>
      </c>
      <c r="S29" s="14">
        <f>(SUM(G18:G29)-SUM(K18:K29))/SUM(G18:G29)</f>
        <v/>
      </c>
      <c r="T29" s="16">
        <f>SUM(D18:D29)/SUM(B18:B29)</f>
        <v/>
      </c>
      <c r="U29" s="17">
        <f>1/T29</f>
        <v/>
      </c>
      <c r="V29" s="13">
        <f>N29*S29/T29</f>
        <v/>
      </c>
      <c r="W29" s="17">
        <f>V29/R29</f>
        <v/>
      </c>
      <c r="X29" s="17">
        <f>R29/(N29*S29)</f>
        <v/>
      </c>
      <c r="Y29" s="13">
        <f>G29-K29-P29</f>
        <v/>
      </c>
      <c r="Z29" s="14">
        <f>Y29/G29</f>
        <v/>
      </c>
      <c r="AA29" s="12">
        <f>Input_Data!G29</f>
        <v/>
      </c>
      <c r="AB29" s="15">
        <f>J29/AA29</f>
        <v/>
      </c>
    </row>
    <row r="30">
      <c r="A30" s="18">
        <f>Input_Data!A30</f>
        <v/>
      </c>
      <c r="B30" s="19">
        <f>F29</f>
        <v/>
      </c>
      <c r="C30" s="19">
        <f>Input_Data!C30</f>
        <v/>
      </c>
      <c r="D30" s="19">
        <f>Input_Data!D30</f>
        <v/>
      </c>
      <c r="E30" s="19">
        <f>C30-D30</f>
        <v/>
      </c>
      <c r="F30" s="19">
        <f>B30+E30</f>
        <v/>
      </c>
      <c r="G30" s="20">
        <f>Input_Data!B30</f>
        <v/>
      </c>
      <c r="H30" s="21">
        <f>G30/G29-1</f>
        <v/>
      </c>
      <c r="I30" s="21">
        <f>G30/G18-1</f>
        <v/>
      </c>
      <c r="J30" s="22">
        <f>G30*12</f>
        <v/>
      </c>
      <c r="K30" s="20">
        <f>Input_Data!E30</f>
        <v/>
      </c>
      <c r="L30" s="20">
        <f>G30-K30</f>
        <v/>
      </c>
      <c r="M30" s="21">
        <f>L30/G30</f>
        <v/>
      </c>
      <c r="N30" s="20">
        <f>G30/F30</f>
        <v/>
      </c>
      <c r="O30" s="23">
        <f>D30/B30</f>
        <v/>
      </c>
      <c r="P30" s="20">
        <f>Input_Data!F30</f>
        <v/>
      </c>
      <c r="Q30" s="20">
        <f>P30/C30</f>
        <v/>
      </c>
      <c r="R30" s="20">
        <f>SUM(P19:P30)/SUM(C19:C30)</f>
        <v/>
      </c>
      <c r="S30" s="21">
        <f>(SUM(G19:G30)-SUM(K19:K30))/SUM(G19:G30)</f>
        <v/>
      </c>
      <c r="T30" s="23">
        <f>SUM(D19:D30)/SUM(B19:B30)</f>
        <v/>
      </c>
      <c r="U30" s="24">
        <f>1/T30</f>
        <v/>
      </c>
      <c r="V30" s="20">
        <f>N30*S30/T30</f>
        <v/>
      </c>
      <c r="W30" s="24">
        <f>V30/R30</f>
        <v/>
      </c>
      <c r="X30" s="24">
        <f>R30/(N30*S30)</f>
        <v/>
      </c>
      <c r="Y30" s="20">
        <f>G30-K30-P30</f>
        <v/>
      </c>
      <c r="Z30" s="21">
        <f>Y30/G30</f>
        <v/>
      </c>
      <c r="AA30" s="19">
        <f>Input_Data!G30</f>
        <v/>
      </c>
      <c r="AB30" s="22">
        <f>J30/AA30</f>
        <v/>
      </c>
    </row>
    <row r="31">
      <c r="A31">
        <f>Input_Data!A31</f>
        <v/>
      </c>
      <c r="B31" s="12">
        <f>F30</f>
        <v/>
      </c>
      <c r="C31" s="12">
        <f>Input_Data!C31</f>
        <v/>
      </c>
      <c r="D31" s="12">
        <f>Input_Data!D31</f>
        <v/>
      </c>
      <c r="E31" s="12">
        <f>C31-D31</f>
        <v/>
      </c>
      <c r="F31" s="12">
        <f>B31+E31</f>
        <v/>
      </c>
      <c r="G31" s="13">
        <f>Input_Data!B31</f>
        <v/>
      </c>
      <c r="H31" s="14">
        <f>G31/G30-1</f>
        <v/>
      </c>
      <c r="I31" s="14">
        <f>G31/G19-1</f>
        <v/>
      </c>
      <c r="J31" s="15">
        <f>G31*12</f>
        <v/>
      </c>
      <c r="K31" s="13">
        <f>Input_Data!E31</f>
        <v/>
      </c>
      <c r="L31" s="13">
        <f>G31-K31</f>
        <v/>
      </c>
      <c r="M31" s="14">
        <f>L31/G31</f>
        <v/>
      </c>
      <c r="N31" s="13">
        <f>G31/F31</f>
        <v/>
      </c>
      <c r="O31" s="16">
        <f>D31/B31</f>
        <v/>
      </c>
      <c r="P31" s="13">
        <f>Input_Data!F31</f>
        <v/>
      </c>
      <c r="Q31" s="13">
        <f>P31/C31</f>
        <v/>
      </c>
      <c r="R31" s="13">
        <f>SUM(P20:P31)/SUM(C20:C31)</f>
        <v/>
      </c>
      <c r="S31" s="14">
        <f>(SUM(G20:G31)-SUM(K20:K31))/SUM(G20:G31)</f>
        <v/>
      </c>
      <c r="T31" s="16">
        <f>SUM(D20:D31)/SUM(B20:B31)</f>
        <v/>
      </c>
      <c r="U31" s="17">
        <f>1/T31</f>
        <v/>
      </c>
      <c r="V31" s="13">
        <f>N31*S31/T31</f>
        <v/>
      </c>
      <c r="W31" s="17">
        <f>V31/R31</f>
        <v/>
      </c>
      <c r="X31" s="17">
        <f>R31/(N31*S31)</f>
        <v/>
      </c>
      <c r="Y31" s="13">
        <f>G31-K31-P31</f>
        <v/>
      </c>
      <c r="Z31" s="14">
        <f>Y31/G31</f>
        <v/>
      </c>
      <c r="AA31" s="12">
        <f>Input_Data!G31</f>
        <v/>
      </c>
      <c r="AB31" s="15">
        <f>J31/AA31</f>
        <v/>
      </c>
    </row>
    <row r="32">
      <c r="A32" s="18">
        <f>Input_Data!A32</f>
        <v/>
      </c>
      <c r="B32" s="19">
        <f>F31</f>
        <v/>
      </c>
      <c r="C32" s="19">
        <f>Input_Data!C32</f>
        <v/>
      </c>
      <c r="D32" s="19">
        <f>Input_Data!D32</f>
        <v/>
      </c>
      <c r="E32" s="19">
        <f>C32-D32</f>
        <v/>
      </c>
      <c r="F32" s="19">
        <f>B32+E32</f>
        <v/>
      </c>
      <c r="G32" s="20">
        <f>Input_Data!B32</f>
        <v/>
      </c>
      <c r="H32" s="21">
        <f>G32/G31-1</f>
        <v/>
      </c>
      <c r="I32" s="21">
        <f>G32/G20-1</f>
        <v/>
      </c>
      <c r="J32" s="22">
        <f>G32*12</f>
        <v/>
      </c>
      <c r="K32" s="20">
        <f>Input_Data!E32</f>
        <v/>
      </c>
      <c r="L32" s="20">
        <f>G32-K32</f>
        <v/>
      </c>
      <c r="M32" s="21">
        <f>L32/G32</f>
        <v/>
      </c>
      <c r="N32" s="20">
        <f>G32/F32</f>
        <v/>
      </c>
      <c r="O32" s="23">
        <f>D32/B32</f>
        <v/>
      </c>
      <c r="P32" s="20">
        <f>Input_Data!F32</f>
        <v/>
      </c>
      <c r="Q32" s="20">
        <f>P32/C32</f>
        <v/>
      </c>
      <c r="R32" s="20">
        <f>SUM(P21:P32)/SUM(C21:C32)</f>
        <v/>
      </c>
      <c r="S32" s="21">
        <f>(SUM(G21:G32)-SUM(K21:K32))/SUM(G21:G32)</f>
        <v/>
      </c>
      <c r="T32" s="23">
        <f>SUM(D21:D32)/SUM(B21:B32)</f>
        <v/>
      </c>
      <c r="U32" s="24">
        <f>1/T32</f>
        <v/>
      </c>
      <c r="V32" s="20">
        <f>N32*S32/T32</f>
        <v/>
      </c>
      <c r="W32" s="24">
        <f>V32/R32</f>
        <v/>
      </c>
      <c r="X32" s="24">
        <f>R32/(N32*S32)</f>
        <v/>
      </c>
      <c r="Y32" s="20">
        <f>G32-K32-P32</f>
        <v/>
      </c>
      <c r="Z32" s="21">
        <f>Y32/G32</f>
        <v/>
      </c>
      <c r="AA32" s="19">
        <f>Input_Data!G32</f>
        <v/>
      </c>
      <c r="AB32" s="22">
        <f>J32/AA32</f>
        <v/>
      </c>
    </row>
    <row r="33">
      <c r="A33">
        <f>Input_Data!A33</f>
        <v/>
      </c>
      <c r="B33" s="12">
        <f>F32</f>
        <v/>
      </c>
      <c r="C33" s="12">
        <f>Input_Data!C33</f>
        <v/>
      </c>
      <c r="D33" s="12">
        <f>Input_Data!D33</f>
        <v/>
      </c>
      <c r="E33" s="12">
        <f>C33-D33</f>
        <v/>
      </c>
      <c r="F33" s="12">
        <f>B33+E33</f>
        <v/>
      </c>
      <c r="G33" s="13">
        <f>Input_Data!B33</f>
        <v/>
      </c>
      <c r="H33" s="14">
        <f>G33/G32-1</f>
        <v/>
      </c>
      <c r="I33" s="14">
        <f>G33/G21-1</f>
        <v/>
      </c>
      <c r="J33" s="15">
        <f>G33*12</f>
        <v/>
      </c>
      <c r="K33" s="13">
        <f>Input_Data!E33</f>
        <v/>
      </c>
      <c r="L33" s="13">
        <f>G33-K33</f>
        <v/>
      </c>
      <c r="M33" s="14">
        <f>L33/G33</f>
        <v/>
      </c>
      <c r="N33" s="13">
        <f>G33/F33</f>
        <v/>
      </c>
      <c r="O33" s="16">
        <f>D33/B33</f>
        <v/>
      </c>
      <c r="P33" s="13">
        <f>Input_Data!F33</f>
        <v/>
      </c>
      <c r="Q33" s="13">
        <f>P33/C33</f>
        <v/>
      </c>
      <c r="R33" s="13">
        <f>SUM(P22:P33)/SUM(C22:C33)</f>
        <v/>
      </c>
      <c r="S33" s="14">
        <f>(SUM(G22:G33)-SUM(K22:K33))/SUM(G22:G33)</f>
        <v/>
      </c>
      <c r="T33" s="16">
        <f>SUM(D22:D33)/SUM(B22:B33)</f>
        <v/>
      </c>
      <c r="U33" s="17">
        <f>1/T33</f>
        <v/>
      </c>
      <c r="V33" s="13">
        <f>N33*S33/T33</f>
        <v/>
      </c>
      <c r="W33" s="17">
        <f>V33/R33</f>
        <v/>
      </c>
      <c r="X33" s="17">
        <f>R33/(N33*S33)</f>
        <v/>
      </c>
      <c r="Y33" s="13">
        <f>G33-K33-P33</f>
        <v/>
      </c>
      <c r="Z33" s="14">
        <f>Y33/G33</f>
        <v/>
      </c>
      <c r="AA33" s="12">
        <f>Input_Data!G33</f>
        <v/>
      </c>
      <c r="AB33" s="15">
        <f>J33/AA33</f>
        <v/>
      </c>
    </row>
    <row r="34">
      <c r="A34" s="18">
        <f>Input_Data!A34</f>
        <v/>
      </c>
      <c r="B34" s="19">
        <f>F33</f>
        <v/>
      </c>
      <c r="C34" s="19">
        <f>Input_Data!C34</f>
        <v/>
      </c>
      <c r="D34" s="19">
        <f>Input_Data!D34</f>
        <v/>
      </c>
      <c r="E34" s="19">
        <f>C34-D34</f>
        <v/>
      </c>
      <c r="F34" s="19">
        <f>B34+E34</f>
        <v/>
      </c>
      <c r="G34" s="20">
        <f>Input_Data!B34</f>
        <v/>
      </c>
      <c r="H34" s="21">
        <f>G34/G33-1</f>
        <v/>
      </c>
      <c r="I34" s="21">
        <f>G34/G22-1</f>
        <v/>
      </c>
      <c r="J34" s="22">
        <f>G34*12</f>
        <v/>
      </c>
      <c r="K34" s="20">
        <f>Input_Data!E34</f>
        <v/>
      </c>
      <c r="L34" s="20">
        <f>G34-K34</f>
        <v/>
      </c>
      <c r="M34" s="21">
        <f>L34/G34</f>
        <v/>
      </c>
      <c r="N34" s="20">
        <f>G34/F34</f>
        <v/>
      </c>
      <c r="O34" s="23">
        <f>D34/B34</f>
        <v/>
      </c>
      <c r="P34" s="20">
        <f>Input_Data!F34</f>
        <v/>
      </c>
      <c r="Q34" s="20">
        <f>P34/C34</f>
        <v/>
      </c>
      <c r="R34" s="20">
        <f>SUM(P23:P34)/SUM(C23:C34)</f>
        <v/>
      </c>
      <c r="S34" s="21">
        <f>(SUM(G23:G34)-SUM(K23:K34))/SUM(G23:G34)</f>
        <v/>
      </c>
      <c r="T34" s="23">
        <f>SUM(D23:D34)/SUM(B23:B34)</f>
        <v/>
      </c>
      <c r="U34" s="24">
        <f>1/T34</f>
        <v/>
      </c>
      <c r="V34" s="20">
        <f>N34*S34/T34</f>
        <v/>
      </c>
      <c r="W34" s="24">
        <f>V34/R34</f>
        <v/>
      </c>
      <c r="X34" s="24">
        <f>R34/(N34*S34)</f>
        <v/>
      </c>
      <c r="Y34" s="20">
        <f>G34-K34-P34</f>
        <v/>
      </c>
      <c r="Z34" s="21">
        <f>Y34/G34</f>
        <v/>
      </c>
      <c r="AA34" s="19">
        <f>Input_Data!G34</f>
        <v/>
      </c>
      <c r="AB34" s="22">
        <f>J34/AA34</f>
        <v/>
      </c>
    </row>
    <row r="35">
      <c r="A35">
        <f>Input_Data!A35</f>
        <v/>
      </c>
      <c r="B35" s="12">
        <f>F34</f>
        <v/>
      </c>
      <c r="C35" s="12">
        <f>Input_Data!C35</f>
        <v/>
      </c>
      <c r="D35" s="12">
        <f>Input_Data!D35</f>
        <v/>
      </c>
      <c r="E35" s="12">
        <f>C35-D35</f>
        <v/>
      </c>
      <c r="F35" s="12">
        <f>B35+E35</f>
        <v/>
      </c>
      <c r="G35" s="13">
        <f>Input_Data!B35</f>
        <v/>
      </c>
      <c r="H35" s="14">
        <f>G35/G34-1</f>
        <v/>
      </c>
      <c r="I35" s="14">
        <f>G35/G23-1</f>
        <v/>
      </c>
      <c r="J35" s="15">
        <f>G35*12</f>
        <v/>
      </c>
      <c r="K35" s="13">
        <f>Input_Data!E35</f>
        <v/>
      </c>
      <c r="L35" s="13">
        <f>G35-K35</f>
        <v/>
      </c>
      <c r="M35" s="14">
        <f>L35/G35</f>
        <v/>
      </c>
      <c r="N35" s="13">
        <f>G35/F35</f>
        <v/>
      </c>
      <c r="O35" s="16">
        <f>D35/B35</f>
        <v/>
      </c>
      <c r="P35" s="13">
        <f>Input_Data!F35</f>
        <v/>
      </c>
      <c r="Q35" s="13">
        <f>P35/C35</f>
        <v/>
      </c>
      <c r="R35" s="13">
        <f>SUM(P24:P35)/SUM(C24:C35)</f>
        <v/>
      </c>
      <c r="S35" s="14">
        <f>(SUM(G24:G35)-SUM(K24:K35))/SUM(G24:G35)</f>
        <v/>
      </c>
      <c r="T35" s="16">
        <f>SUM(D24:D35)/SUM(B24:B35)</f>
        <v/>
      </c>
      <c r="U35" s="17">
        <f>1/T35</f>
        <v/>
      </c>
      <c r="V35" s="13">
        <f>N35*S35/T35</f>
        <v/>
      </c>
      <c r="W35" s="17">
        <f>V35/R35</f>
        <v/>
      </c>
      <c r="X35" s="17">
        <f>R35/(N35*S35)</f>
        <v/>
      </c>
      <c r="Y35" s="13">
        <f>G35-K35-P35</f>
        <v/>
      </c>
      <c r="Z35" s="14">
        <f>Y35/G35</f>
        <v/>
      </c>
      <c r="AA35" s="12">
        <f>Input_Data!G35</f>
        <v/>
      </c>
      <c r="AB35" s="15">
        <f>J35/AA35</f>
        <v/>
      </c>
    </row>
    <row r="36">
      <c r="A36" s="18">
        <f>Input_Data!A36</f>
        <v/>
      </c>
      <c r="B36" s="19">
        <f>F35</f>
        <v/>
      </c>
      <c r="C36" s="19">
        <f>Input_Data!C36</f>
        <v/>
      </c>
      <c r="D36" s="19">
        <f>Input_Data!D36</f>
        <v/>
      </c>
      <c r="E36" s="19">
        <f>C36-D36</f>
        <v/>
      </c>
      <c r="F36" s="19">
        <f>B36+E36</f>
        <v/>
      </c>
      <c r="G36" s="20">
        <f>Input_Data!B36</f>
        <v/>
      </c>
      <c r="H36" s="21">
        <f>G36/G35-1</f>
        <v/>
      </c>
      <c r="I36" s="21">
        <f>G36/G24-1</f>
        <v/>
      </c>
      <c r="J36" s="22">
        <f>G36*12</f>
        <v/>
      </c>
      <c r="K36" s="20">
        <f>Input_Data!E36</f>
        <v/>
      </c>
      <c r="L36" s="20">
        <f>G36-K36</f>
        <v/>
      </c>
      <c r="M36" s="21">
        <f>L36/G36</f>
        <v/>
      </c>
      <c r="N36" s="20">
        <f>G36/F36</f>
        <v/>
      </c>
      <c r="O36" s="23">
        <f>D36/B36</f>
        <v/>
      </c>
      <c r="P36" s="20">
        <f>Input_Data!F36</f>
        <v/>
      </c>
      <c r="Q36" s="20">
        <f>P36/C36</f>
        <v/>
      </c>
      <c r="R36" s="20">
        <f>SUM(P25:P36)/SUM(C25:C36)</f>
        <v/>
      </c>
      <c r="S36" s="21">
        <f>(SUM(G25:G36)-SUM(K25:K36))/SUM(G25:G36)</f>
        <v/>
      </c>
      <c r="T36" s="23">
        <f>SUM(D25:D36)/SUM(B25:B36)</f>
        <v/>
      </c>
      <c r="U36" s="24">
        <f>1/T36</f>
        <v/>
      </c>
      <c r="V36" s="20">
        <f>N36*S36/T36</f>
        <v/>
      </c>
      <c r="W36" s="24">
        <f>V36/R36</f>
        <v/>
      </c>
      <c r="X36" s="24">
        <f>R36/(N36*S36)</f>
        <v/>
      </c>
      <c r="Y36" s="20">
        <f>G36-K36-P36</f>
        <v/>
      </c>
      <c r="Z36" s="21">
        <f>Y36/G36</f>
        <v/>
      </c>
      <c r="AA36" s="19">
        <f>Input_Data!G36</f>
        <v/>
      </c>
      <c r="AB36" s="22">
        <f>J36/AA36</f>
        <v/>
      </c>
    </row>
    <row r="37">
      <c r="A37">
        <f>Input_Data!A37</f>
        <v/>
      </c>
      <c r="B37" s="12">
        <f>F36</f>
        <v/>
      </c>
      <c r="C37" s="12">
        <f>Input_Data!C37</f>
        <v/>
      </c>
      <c r="D37" s="12">
        <f>Input_Data!D37</f>
        <v/>
      </c>
      <c r="E37" s="12">
        <f>C37-D37</f>
        <v/>
      </c>
      <c r="F37" s="12">
        <f>B37+E37</f>
        <v/>
      </c>
      <c r="G37" s="13">
        <f>Input_Data!B37</f>
        <v/>
      </c>
      <c r="H37" s="14">
        <f>G37/G36-1</f>
        <v/>
      </c>
      <c r="I37" s="14">
        <f>G37/G25-1</f>
        <v/>
      </c>
      <c r="J37" s="15">
        <f>G37*12</f>
        <v/>
      </c>
      <c r="K37" s="13">
        <f>Input_Data!E37</f>
        <v/>
      </c>
      <c r="L37" s="13">
        <f>G37-K37</f>
        <v/>
      </c>
      <c r="M37" s="14">
        <f>L37/G37</f>
        <v/>
      </c>
      <c r="N37" s="13">
        <f>G37/F37</f>
        <v/>
      </c>
      <c r="O37" s="16">
        <f>D37/B37</f>
        <v/>
      </c>
      <c r="P37" s="13">
        <f>Input_Data!F37</f>
        <v/>
      </c>
      <c r="Q37" s="13">
        <f>P37/C37</f>
        <v/>
      </c>
      <c r="R37" s="13">
        <f>SUM(P26:P37)/SUM(C26:C37)</f>
        <v/>
      </c>
      <c r="S37" s="14">
        <f>(SUM(G26:G37)-SUM(K26:K37))/SUM(G26:G37)</f>
        <v/>
      </c>
      <c r="T37" s="16">
        <f>SUM(D26:D37)/SUM(B26:B37)</f>
        <v/>
      </c>
      <c r="U37" s="17">
        <f>1/T37</f>
        <v/>
      </c>
      <c r="V37" s="13">
        <f>N37*S37/T37</f>
        <v/>
      </c>
      <c r="W37" s="17">
        <f>V37/R37</f>
        <v/>
      </c>
      <c r="X37" s="17">
        <f>R37/(N37*S37)</f>
        <v/>
      </c>
      <c r="Y37" s="13">
        <f>G37-K37-P37</f>
        <v/>
      </c>
      <c r="Z37" s="14">
        <f>Y37/G37</f>
        <v/>
      </c>
      <c r="AA37" s="12">
        <f>Input_Data!G37</f>
        <v/>
      </c>
      <c r="AB37" s="15">
        <f>J37/AA37</f>
        <v/>
      </c>
    </row>
    <row r="38">
      <c r="A38" s="18">
        <f>Input_Data!A38</f>
        <v/>
      </c>
      <c r="B38" s="19">
        <f>F37</f>
        <v/>
      </c>
      <c r="C38" s="19">
        <f>Input_Data!C38</f>
        <v/>
      </c>
      <c r="D38" s="19">
        <f>Input_Data!D38</f>
        <v/>
      </c>
      <c r="E38" s="19">
        <f>C38-D38</f>
        <v/>
      </c>
      <c r="F38" s="19">
        <f>B38+E38</f>
        <v/>
      </c>
      <c r="G38" s="20">
        <f>Input_Data!B38</f>
        <v/>
      </c>
      <c r="H38" s="21">
        <f>G38/G37-1</f>
        <v/>
      </c>
      <c r="I38" s="21">
        <f>G38/G26-1</f>
        <v/>
      </c>
      <c r="J38" s="22">
        <f>G38*12</f>
        <v/>
      </c>
      <c r="K38" s="20">
        <f>Input_Data!E38</f>
        <v/>
      </c>
      <c r="L38" s="20">
        <f>G38-K38</f>
        <v/>
      </c>
      <c r="M38" s="21">
        <f>L38/G38</f>
        <v/>
      </c>
      <c r="N38" s="20">
        <f>G38/F38</f>
        <v/>
      </c>
      <c r="O38" s="23">
        <f>D38/B38</f>
        <v/>
      </c>
      <c r="P38" s="20">
        <f>Input_Data!F38</f>
        <v/>
      </c>
      <c r="Q38" s="20">
        <f>P38/C38</f>
        <v/>
      </c>
      <c r="R38" s="20">
        <f>SUM(P27:P38)/SUM(C27:C38)</f>
        <v/>
      </c>
      <c r="S38" s="21">
        <f>(SUM(G27:G38)-SUM(K27:K38))/SUM(G27:G38)</f>
        <v/>
      </c>
      <c r="T38" s="23">
        <f>SUM(D27:D38)/SUM(B27:B38)</f>
        <v/>
      </c>
      <c r="U38" s="24">
        <f>1/T38</f>
        <v/>
      </c>
      <c r="V38" s="20">
        <f>N38*S38/T38</f>
        <v/>
      </c>
      <c r="W38" s="24">
        <f>V38/R38</f>
        <v/>
      </c>
      <c r="X38" s="24">
        <f>R38/(N38*S38)</f>
        <v/>
      </c>
      <c r="Y38" s="20">
        <f>G38-K38-P38</f>
        <v/>
      </c>
      <c r="Z38" s="21">
        <f>Y38/G38</f>
        <v/>
      </c>
      <c r="AA38" s="19">
        <f>Input_Data!G38</f>
        <v/>
      </c>
      <c r="AB38" s="22">
        <f>J38/AA38</f>
        <v/>
      </c>
    </row>
    <row r="39">
      <c r="A39">
        <f>Input_Data!A39</f>
        <v/>
      </c>
      <c r="B39" s="12">
        <f>F38</f>
        <v/>
      </c>
      <c r="C39" s="12">
        <f>Input_Data!C39</f>
        <v/>
      </c>
      <c r="D39" s="12">
        <f>Input_Data!D39</f>
        <v/>
      </c>
      <c r="E39" s="12">
        <f>C39-D39</f>
        <v/>
      </c>
      <c r="F39" s="12">
        <f>B39+E39</f>
        <v/>
      </c>
      <c r="G39" s="13">
        <f>Input_Data!B39</f>
        <v/>
      </c>
      <c r="H39" s="14">
        <f>G39/G38-1</f>
        <v/>
      </c>
      <c r="I39" s="14">
        <f>G39/G27-1</f>
        <v/>
      </c>
      <c r="J39" s="15">
        <f>G39*12</f>
        <v/>
      </c>
      <c r="K39" s="13">
        <f>Input_Data!E39</f>
        <v/>
      </c>
      <c r="L39" s="13">
        <f>G39-K39</f>
        <v/>
      </c>
      <c r="M39" s="14">
        <f>L39/G39</f>
        <v/>
      </c>
      <c r="N39" s="13">
        <f>G39/F39</f>
        <v/>
      </c>
      <c r="O39" s="16">
        <f>D39/B39</f>
        <v/>
      </c>
      <c r="P39" s="13">
        <f>Input_Data!F39</f>
        <v/>
      </c>
      <c r="Q39" s="13">
        <f>P39/C39</f>
        <v/>
      </c>
      <c r="R39" s="13">
        <f>SUM(P28:P39)/SUM(C28:C39)</f>
        <v/>
      </c>
      <c r="S39" s="14">
        <f>(SUM(G28:G39)-SUM(K28:K39))/SUM(G28:G39)</f>
        <v/>
      </c>
      <c r="T39" s="16">
        <f>SUM(D28:D39)/SUM(B28:B39)</f>
        <v/>
      </c>
      <c r="U39" s="17">
        <f>1/T39</f>
        <v/>
      </c>
      <c r="V39" s="13">
        <f>N39*S39/T39</f>
        <v/>
      </c>
      <c r="W39" s="17">
        <f>V39/R39</f>
        <v/>
      </c>
      <c r="X39" s="17">
        <f>R39/(N39*S39)</f>
        <v/>
      </c>
      <c r="Y39" s="13">
        <f>G39-K39-P39</f>
        <v/>
      </c>
      <c r="Z39" s="14">
        <f>Y39/G39</f>
        <v/>
      </c>
      <c r="AA39" s="12">
        <f>Input_Data!G39</f>
        <v/>
      </c>
      <c r="AB39" s="15">
        <f>J39/AA39</f>
        <v/>
      </c>
    </row>
    <row r="40">
      <c r="A40" s="18">
        <f>Input_Data!A40</f>
        <v/>
      </c>
      <c r="B40" s="19">
        <f>F39</f>
        <v/>
      </c>
      <c r="C40" s="19">
        <f>Input_Data!C40</f>
        <v/>
      </c>
      <c r="D40" s="19">
        <f>Input_Data!D40</f>
        <v/>
      </c>
      <c r="E40" s="19">
        <f>C40-D40</f>
        <v/>
      </c>
      <c r="F40" s="19">
        <f>B40+E40</f>
        <v/>
      </c>
      <c r="G40" s="20">
        <f>Input_Data!B40</f>
        <v/>
      </c>
      <c r="H40" s="21">
        <f>G40/G39-1</f>
        <v/>
      </c>
      <c r="I40" s="21">
        <f>G40/G28-1</f>
        <v/>
      </c>
      <c r="J40" s="22">
        <f>G40*12</f>
        <v/>
      </c>
      <c r="K40" s="20">
        <f>Input_Data!E40</f>
        <v/>
      </c>
      <c r="L40" s="20">
        <f>G40-K40</f>
        <v/>
      </c>
      <c r="M40" s="21">
        <f>L40/G40</f>
        <v/>
      </c>
      <c r="N40" s="20">
        <f>G40/F40</f>
        <v/>
      </c>
      <c r="O40" s="23">
        <f>D40/B40</f>
        <v/>
      </c>
      <c r="P40" s="20">
        <f>Input_Data!F40</f>
        <v/>
      </c>
      <c r="Q40" s="20">
        <f>P40/C40</f>
        <v/>
      </c>
      <c r="R40" s="20">
        <f>SUM(P29:P40)/SUM(C29:C40)</f>
        <v/>
      </c>
      <c r="S40" s="21">
        <f>(SUM(G29:G40)-SUM(K29:K40))/SUM(G29:G40)</f>
        <v/>
      </c>
      <c r="T40" s="23">
        <f>SUM(D29:D40)/SUM(B29:B40)</f>
        <v/>
      </c>
      <c r="U40" s="24">
        <f>1/T40</f>
        <v/>
      </c>
      <c r="V40" s="20">
        <f>N40*S40/T40</f>
        <v/>
      </c>
      <c r="W40" s="24">
        <f>V40/R40</f>
        <v/>
      </c>
      <c r="X40" s="24">
        <f>R40/(N40*S40)</f>
        <v/>
      </c>
      <c r="Y40" s="20">
        <f>G40-K40-P40</f>
        <v/>
      </c>
      <c r="Z40" s="21">
        <f>Y40/G40</f>
        <v/>
      </c>
      <c r="AA40" s="19">
        <f>Input_Data!G40</f>
        <v/>
      </c>
      <c r="AB40" s="22">
        <f>J40/AA40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14" customWidth="1" min="3" max="3"/>
    <col width="11" customWidth="1" min="4" max="4"/>
    <col width="13" customWidth="1" min="5" max="5"/>
    <col width="14" customWidth="1" min="6" max="6"/>
    <col width="11" customWidth="1" min="7" max="7"/>
    <col width="10" customWidth="1" min="8" max="8"/>
    <col width="11" customWidth="1" min="9" max="9"/>
    <col width="12" customWidth="1" min="10" max="10"/>
    <col width="14" customWidth="1" min="11" max="11"/>
    <col width="13" customWidth="1" min="12" max="12"/>
    <col width="11" customWidth="1" min="13" max="13"/>
    <col width="13" customWidth="1" min="14" max="14"/>
  </cols>
  <sheetData>
    <row r="1">
      <c r="A1" s="1" t="inlineStr">
        <is>
          <t>Quarterly summary</t>
        </is>
      </c>
    </row>
    <row r="2">
      <c r="A2" s="2" t="inlineStr">
        <is>
          <t>Calendar quarters; magic number needs a prior quarter so 23Q4 is blank.</t>
        </is>
      </c>
    </row>
    <row r="4" ht="30" customHeight="1">
      <c r="A4" s="4" t="inlineStr">
        <is>
          <t>Quarter</t>
        </is>
      </c>
      <c r="B4" s="4" t="inlineStr">
        <is>
          <t>Exit MRR</t>
        </is>
      </c>
      <c r="C4" s="4" t="inlineStr">
        <is>
          <t>Exit ARR</t>
        </is>
      </c>
      <c r="D4" s="4" t="inlineStr">
        <is>
          <t>QoQ growth</t>
        </is>
      </c>
      <c r="E4" s="4" t="inlineStr">
        <is>
          <t>Net new ARR</t>
        </is>
      </c>
      <c r="F4" s="4" t="inlineStr">
        <is>
          <t>S&amp;M in quarter</t>
        </is>
      </c>
      <c r="G4" s="4" t="inlineStr">
        <is>
          <t>Magic number</t>
        </is>
      </c>
      <c r="H4" s="4" t="inlineStr">
        <is>
          <t>New logos</t>
        </is>
      </c>
      <c r="I4" s="4" t="inlineStr">
        <is>
          <t>Churned logos</t>
        </is>
      </c>
      <c r="J4" s="4" t="inlineStr">
        <is>
          <t>Ending customers</t>
        </is>
      </c>
      <c r="K4" s="4" t="inlineStr">
        <is>
          <t>Quarter revenue</t>
        </is>
      </c>
      <c r="L4" s="4" t="inlineStr">
        <is>
          <t>Quarter COGS</t>
        </is>
      </c>
      <c r="M4" s="4" t="inlineStr">
        <is>
          <t>Gross margin</t>
        </is>
      </c>
      <c r="N4" s="4" t="inlineStr">
        <is>
          <t>Contribution</t>
        </is>
      </c>
    </row>
    <row r="5">
      <c r="A5" t="inlineStr">
        <is>
          <t>23Q4</t>
        </is>
      </c>
      <c r="B5" s="13">
        <f>Monthly_Metrics!G7</f>
        <v/>
      </c>
      <c r="C5" s="15">
        <f>B5*12</f>
        <v/>
      </c>
      <c r="D5" s="14" t="n"/>
      <c r="E5" s="15" t="n"/>
      <c r="F5" s="13">
        <f>SUM(Monthly_Metrics!P5:P7)</f>
        <v/>
      </c>
      <c r="G5" s="17" t="n"/>
      <c r="H5" s="12">
        <f>SUM(Monthly_Metrics!C5:C7)</f>
        <v/>
      </c>
      <c r="I5" s="12">
        <f>SUM(Monthly_Metrics!D5:D7)</f>
        <v/>
      </c>
      <c r="J5" s="12">
        <f>Monthly_Metrics!F7</f>
        <v/>
      </c>
      <c r="K5" s="13">
        <f>SUM(Monthly_Metrics!G5:G7)</f>
        <v/>
      </c>
      <c r="L5" s="13">
        <f>SUM(Monthly_Metrics!K5:K7)</f>
        <v/>
      </c>
      <c r="M5" s="14">
        <f>(K5-L5)/K5</f>
        <v/>
      </c>
      <c r="N5" s="13">
        <f>K5-L5-F5</f>
        <v/>
      </c>
    </row>
    <row r="6">
      <c r="A6" s="18" t="inlineStr">
        <is>
          <t>24Q1</t>
        </is>
      </c>
      <c r="B6" s="20">
        <f>Monthly_Metrics!G10</f>
        <v/>
      </c>
      <c r="C6" s="22">
        <f>B6*12</f>
        <v/>
      </c>
      <c r="D6" s="21">
        <f>B6/B5-1</f>
        <v/>
      </c>
      <c r="E6" s="22">
        <f>C6-C5</f>
        <v/>
      </c>
      <c r="F6" s="20">
        <f>SUM(Monthly_Metrics!P8:P10)</f>
        <v/>
      </c>
      <c r="G6" s="24">
        <f>E6/F5</f>
        <v/>
      </c>
      <c r="H6" s="19">
        <f>SUM(Monthly_Metrics!C8:C10)</f>
        <v/>
      </c>
      <c r="I6" s="19">
        <f>SUM(Monthly_Metrics!D8:D10)</f>
        <v/>
      </c>
      <c r="J6" s="19">
        <f>Monthly_Metrics!F10</f>
        <v/>
      </c>
      <c r="K6" s="20">
        <f>SUM(Monthly_Metrics!G8:G10)</f>
        <v/>
      </c>
      <c r="L6" s="20">
        <f>SUM(Monthly_Metrics!K8:K10)</f>
        <v/>
      </c>
      <c r="M6" s="21">
        <f>(K6-L6)/K6</f>
        <v/>
      </c>
      <c r="N6" s="20">
        <f>K6-L6-F6</f>
        <v/>
      </c>
    </row>
    <row r="7">
      <c r="A7" t="inlineStr">
        <is>
          <t>24Q2</t>
        </is>
      </c>
      <c r="B7" s="13">
        <f>Monthly_Metrics!G13</f>
        <v/>
      </c>
      <c r="C7" s="15">
        <f>B7*12</f>
        <v/>
      </c>
      <c r="D7" s="14">
        <f>B7/B6-1</f>
        <v/>
      </c>
      <c r="E7" s="15">
        <f>C7-C6</f>
        <v/>
      </c>
      <c r="F7" s="13">
        <f>SUM(Monthly_Metrics!P11:P13)</f>
        <v/>
      </c>
      <c r="G7" s="17">
        <f>E7/F6</f>
        <v/>
      </c>
      <c r="H7" s="12">
        <f>SUM(Monthly_Metrics!C11:C13)</f>
        <v/>
      </c>
      <c r="I7" s="12">
        <f>SUM(Monthly_Metrics!D11:D13)</f>
        <v/>
      </c>
      <c r="J7" s="12">
        <f>Monthly_Metrics!F13</f>
        <v/>
      </c>
      <c r="K7" s="13">
        <f>SUM(Monthly_Metrics!G11:G13)</f>
        <v/>
      </c>
      <c r="L7" s="13">
        <f>SUM(Monthly_Metrics!K11:K13)</f>
        <v/>
      </c>
      <c r="M7" s="14">
        <f>(K7-L7)/K7</f>
        <v/>
      </c>
      <c r="N7" s="13">
        <f>K7-L7-F7</f>
        <v/>
      </c>
    </row>
    <row r="8">
      <c r="A8" s="18" t="inlineStr">
        <is>
          <t>24Q3</t>
        </is>
      </c>
      <c r="B8" s="20">
        <f>Monthly_Metrics!G16</f>
        <v/>
      </c>
      <c r="C8" s="22">
        <f>B8*12</f>
        <v/>
      </c>
      <c r="D8" s="21">
        <f>B8/B7-1</f>
        <v/>
      </c>
      <c r="E8" s="22">
        <f>C8-C7</f>
        <v/>
      </c>
      <c r="F8" s="20">
        <f>SUM(Monthly_Metrics!P14:P16)</f>
        <v/>
      </c>
      <c r="G8" s="24">
        <f>E8/F7</f>
        <v/>
      </c>
      <c r="H8" s="19">
        <f>SUM(Monthly_Metrics!C14:C16)</f>
        <v/>
      </c>
      <c r="I8" s="19">
        <f>SUM(Monthly_Metrics!D14:D16)</f>
        <v/>
      </c>
      <c r="J8" s="19">
        <f>Monthly_Metrics!F16</f>
        <v/>
      </c>
      <c r="K8" s="20">
        <f>SUM(Monthly_Metrics!G14:G16)</f>
        <v/>
      </c>
      <c r="L8" s="20">
        <f>SUM(Monthly_Metrics!K14:K16)</f>
        <v/>
      </c>
      <c r="M8" s="21">
        <f>(K8-L8)/K8</f>
        <v/>
      </c>
      <c r="N8" s="20">
        <f>K8-L8-F8</f>
        <v/>
      </c>
    </row>
    <row r="9">
      <c r="A9" t="inlineStr">
        <is>
          <t>24Q4</t>
        </is>
      </c>
      <c r="B9" s="13">
        <f>Monthly_Metrics!G19</f>
        <v/>
      </c>
      <c r="C9" s="15">
        <f>B9*12</f>
        <v/>
      </c>
      <c r="D9" s="14">
        <f>B9/B8-1</f>
        <v/>
      </c>
      <c r="E9" s="15">
        <f>C9-C8</f>
        <v/>
      </c>
      <c r="F9" s="13">
        <f>SUM(Monthly_Metrics!P17:P19)</f>
        <v/>
      </c>
      <c r="G9" s="17">
        <f>E9/F8</f>
        <v/>
      </c>
      <c r="H9" s="12">
        <f>SUM(Monthly_Metrics!C17:C19)</f>
        <v/>
      </c>
      <c r="I9" s="12">
        <f>SUM(Monthly_Metrics!D17:D19)</f>
        <v/>
      </c>
      <c r="J9" s="12">
        <f>Monthly_Metrics!F19</f>
        <v/>
      </c>
      <c r="K9" s="13">
        <f>SUM(Monthly_Metrics!G17:G19)</f>
        <v/>
      </c>
      <c r="L9" s="13">
        <f>SUM(Monthly_Metrics!K17:K19)</f>
        <v/>
      </c>
      <c r="M9" s="14">
        <f>(K9-L9)/K9</f>
        <v/>
      </c>
      <c r="N9" s="13">
        <f>K9-L9-F9</f>
        <v/>
      </c>
    </row>
    <row r="10">
      <c r="A10" s="18" t="inlineStr">
        <is>
          <t>25Q1</t>
        </is>
      </c>
      <c r="B10" s="20">
        <f>Monthly_Metrics!G22</f>
        <v/>
      </c>
      <c r="C10" s="22">
        <f>B10*12</f>
        <v/>
      </c>
      <c r="D10" s="21">
        <f>B10/B9-1</f>
        <v/>
      </c>
      <c r="E10" s="22">
        <f>C10-C9</f>
        <v/>
      </c>
      <c r="F10" s="20">
        <f>SUM(Monthly_Metrics!P20:P22)</f>
        <v/>
      </c>
      <c r="G10" s="24">
        <f>E10/F9</f>
        <v/>
      </c>
      <c r="H10" s="19">
        <f>SUM(Monthly_Metrics!C20:C22)</f>
        <v/>
      </c>
      <c r="I10" s="19">
        <f>SUM(Monthly_Metrics!D20:D22)</f>
        <v/>
      </c>
      <c r="J10" s="19">
        <f>Monthly_Metrics!F22</f>
        <v/>
      </c>
      <c r="K10" s="20">
        <f>SUM(Monthly_Metrics!G20:G22)</f>
        <v/>
      </c>
      <c r="L10" s="20">
        <f>SUM(Monthly_Metrics!K20:K22)</f>
        <v/>
      </c>
      <c r="M10" s="21">
        <f>(K10-L10)/K10</f>
        <v/>
      </c>
      <c r="N10" s="20">
        <f>K10-L10-F10</f>
        <v/>
      </c>
    </row>
    <row r="11">
      <c r="A11" t="inlineStr">
        <is>
          <t>25Q2</t>
        </is>
      </c>
      <c r="B11" s="13">
        <f>Monthly_Metrics!G25</f>
        <v/>
      </c>
      <c r="C11" s="15">
        <f>B11*12</f>
        <v/>
      </c>
      <c r="D11" s="14">
        <f>B11/B10-1</f>
        <v/>
      </c>
      <c r="E11" s="15">
        <f>C11-C10</f>
        <v/>
      </c>
      <c r="F11" s="13">
        <f>SUM(Monthly_Metrics!P23:P25)</f>
        <v/>
      </c>
      <c r="G11" s="17">
        <f>E11/F10</f>
        <v/>
      </c>
      <c r="H11" s="12">
        <f>SUM(Monthly_Metrics!C23:C25)</f>
        <v/>
      </c>
      <c r="I11" s="12">
        <f>SUM(Monthly_Metrics!D23:D25)</f>
        <v/>
      </c>
      <c r="J11" s="12">
        <f>Monthly_Metrics!F25</f>
        <v/>
      </c>
      <c r="K11" s="13">
        <f>SUM(Monthly_Metrics!G23:G25)</f>
        <v/>
      </c>
      <c r="L11" s="13">
        <f>SUM(Monthly_Metrics!K23:K25)</f>
        <v/>
      </c>
      <c r="M11" s="14">
        <f>(K11-L11)/K11</f>
        <v/>
      </c>
      <c r="N11" s="13">
        <f>K11-L11-F11</f>
        <v/>
      </c>
    </row>
    <row r="12">
      <c r="A12" s="18" t="inlineStr">
        <is>
          <t>25Q3</t>
        </is>
      </c>
      <c r="B12" s="20">
        <f>Monthly_Metrics!G28</f>
        <v/>
      </c>
      <c r="C12" s="22">
        <f>B12*12</f>
        <v/>
      </c>
      <c r="D12" s="21">
        <f>B12/B11-1</f>
        <v/>
      </c>
      <c r="E12" s="22">
        <f>C12-C11</f>
        <v/>
      </c>
      <c r="F12" s="20">
        <f>SUM(Monthly_Metrics!P26:P28)</f>
        <v/>
      </c>
      <c r="G12" s="24">
        <f>E12/F11</f>
        <v/>
      </c>
      <c r="H12" s="19">
        <f>SUM(Monthly_Metrics!C26:C28)</f>
        <v/>
      </c>
      <c r="I12" s="19">
        <f>SUM(Monthly_Metrics!D26:D28)</f>
        <v/>
      </c>
      <c r="J12" s="19">
        <f>Monthly_Metrics!F28</f>
        <v/>
      </c>
      <c r="K12" s="20">
        <f>SUM(Monthly_Metrics!G26:G28)</f>
        <v/>
      </c>
      <c r="L12" s="20">
        <f>SUM(Monthly_Metrics!K26:K28)</f>
        <v/>
      </c>
      <c r="M12" s="21">
        <f>(K12-L12)/K12</f>
        <v/>
      </c>
      <c r="N12" s="20">
        <f>K12-L12-F12</f>
        <v/>
      </c>
    </row>
    <row r="13">
      <c r="A13" t="inlineStr">
        <is>
          <t>25Q4</t>
        </is>
      </c>
      <c r="B13" s="13">
        <f>Monthly_Metrics!G31</f>
        <v/>
      </c>
      <c r="C13" s="15">
        <f>B13*12</f>
        <v/>
      </c>
      <c r="D13" s="14">
        <f>B13/B12-1</f>
        <v/>
      </c>
      <c r="E13" s="15">
        <f>C13-C12</f>
        <v/>
      </c>
      <c r="F13" s="13">
        <f>SUM(Monthly_Metrics!P29:P31)</f>
        <v/>
      </c>
      <c r="G13" s="17">
        <f>E13/F12</f>
        <v/>
      </c>
      <c r="H13" s="12">
        <f>SUM(Monthly_Metrics!C29:C31)</f>
        <v/>
      </c>
      <c r="I13" s="12">
        <f>SUM(Monthly_Metrics!D29:D31)</f>
        <v/>
      </c>
      <c r="J13" s="12">
        <f>Monthly_Metrics!F31</f>
        <v/>
      </c>
      <c r="K13" s="13">
        <f>SUM(Monthly_Metrics!G29:G31)</f>
        <v/>
      </c>
      <c r="L13" s="13">
        <f>SUM(Monthly_Metrics!K29:K31)</f>
        <v/>
      </c>
      <c r="M13" s="14">
        <f>(K13-L13)/K13</f>
        <v/>
      </c>
      <c r="N13" s="13">
        <f>K13-L13-F13</f>
        <v/>
      </c>
    </row>
    <row r="14">
      <c r="A14" s="18" t="inlineStr">
        <is>
          <t>26Q1</t>
        </is>
      </c>
      <c r="B14" s="20">
        <f>Monthly_Metrics!G34</f>
        <v/>
      </c>
      <c r="C14" s="22">
        <f>B14*12</f>
        <v/>
      </c>
      <c r="D14" s="21">
        <f>B14/B13-1</f>
        <v/>
      </c>
      <c r="E14" s="22">
        <f>C14-C13</f>
        <v/>
      </c>
      <c r="F14" s="20">
        <f>SUM(Monthly_Metrics!P32:P34)</f>
        <v/>
      </c>
      <c r="G14" s="24">
        <f>E14/F13</f>
        <v/>
      </c>
      <c r="H14" s="19">
        <f>SUM(Monthly_Metrics!C32:C34)</f>
        <v/>
      </c>
      <c r="I14" s="19">
        <f>SUM(Monthly_Metrics!D32:D34)</f>
        <v/>
      </c>
      <c r="J14" s="19">
        <f>Monthly_Metrics!F34</f>
        <v/>
      </c>
      <c r="K14" s="20">
        <f>SUM(Monthly_Metrics!G32:G34)</f>
        <v/>
      </c>
      <c r="L14" s="20">
        <f>SUM(Monthly_Metrics!K32:K34)</f>
        <v/>
      </c>
      <c r="M14" s="21">
        <f>(K14-L14)/K14</f>
        <v/>
      </c>
      <c r="N14" s="20">
        <f>K14-L14-F14</f>
        <v/>
      </c>
    </row>
    <row r="15">
      <c r="A15" t="inlineStr">
        <is>
          <t>26Q2</t>
        </is>
      </c>
      <c r="B15" s="13">
        <f>Monthly_Metrics!G37</f>
        <v/>
      </c>
      <c r="C15" s="15">
        <f>B15*12</f>
        <v/>
      </c>
      <c r="D15" s="14">
        <f>B15/B14-1</f>
        <v/>
      </c>
      <c r="E15" s="15">
        <f>C15-C14</f>
        <v/>
      </c>
      <c r="F15" s="13">
        <f>SUM(Monthly_Metrics!P35:P37)</f>
        <v/>
      </c>
      <c r="G15" s="17">
        <f>E15/F14</f>
        <v/>
      </c>
      <c r="H15" s="12">
        <f>SUM(Monthly_Metrics!C35:C37)</f>
        <v/>
      </c>
      <c r="I15" s="12">
        <f>SUM(Monthly_Metrics!D35:D37)</f>
        <v/>
      </c>
      <c r="J15" s="12">
        <f>Monthly_Metrics!F37</f>
        <v/>
      </c>
      <c r="K15" s="13">
        <f>SUM(Monthly_Metrics!G35:G37)</f>
        <v/>
      </c>
      <c r="L15" s="13">
        <f>SUM(Monthly_Metrics!K35:K37)</f>
        <v/>
      </c>
      <c r="M15" s="14">
        <f>(K15-L15)/K15</f>
        <v/>
      </c>
      <c r="N15" s="13">
        <f>K15-L15-F15</f>
        <v/>
      </c>
    </row>
    <row r="16">
      <c r="A16" s="18" t="inlineStr">
        <is>
          <t>26Q3</t>
        </is>
      </c>
      <c r="B16" s="20">
        <f>Monthly_Metrics!G40</f>
        <v/>
      </c>
      <c r="C16" s="22">
        <f>B16*12</f>
        <v/>
      </c>
      <c r="D16" s="21">
        <f>B16/B15-1</f>
        <v/>
      </c>
      <c r="E16" s="22">
        <f>C16-C15</f>
        <v/>
      </c>
      <c r="F16" s="20">
        <f>SUM(Monthly_Metrics!P38:P40)</f>
        <v/>
      </c>
      <c r="G16" s="24">
        <f>E16/F15</f>
        <v/>
      </c>
      <c r="H16" s="19">
        <f>SUM(Monthly_Metrics!C38:C40)</f>
        <v/>
      </c>
      <c r="I16" s="19">
        <f>SUM(Monthly_Metrics!D38:D40)</f>
        <v/>
      </c>
      <c r="J16" s="19">
        <f>Monthly_Metrics!F40</f>
        <v/>
      </c>
      <c r="K16" s="20">
        <f>SUM(Monthly_Metrics!G38:G40)</f>
        <v/>
      </c>
      <c r="L16" s="20">
        <f>SUM(Monthly_Metrics!K38:K40)</f>
        <v/>
      </c>
      <c r="M16" s="21">
        <f>(K16-L16)/K16</f>
        <v/>
      </c>
      <c r="N16" s="20">
        <f>K16-L16-F16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74" customWidth="1" min="3" max="3"/>
  </cols>
  <sheetData>
    <row r="1">
      <c r="A1" s="1" t="inlineStr">
        <is>
          <t>Unit economics - as at 2026-09</t>
        </is>
      </c>
    </row>
    <row r="2">
      <c r="A2" s="2" t="inlineStr">
        <is>
          <t>Headline block uses the house definitions. The sensitivity block shows what the same data yields under other common conventions.</t>
        </is>
      </c>
    </row>
    <row r="4" ht="30" customHeight="1">
      <c r="A4" s="4" t="inlineStr">
        <is>
          <t>Metric</t>
        </is>
      </c>
      <c r="B4" s="4" t="inlineStr">
        <is>
          <t>Value</t>
        </is>
      </c>
      <c r="C4" s="4" t="inlineStr">
        <is>
          <t>Formula / definition</t>
        </is>
      </c>
    </row>
    <row r="5">
      <c r="A5" s="25" t="inlineStr">
        <is>
          <t>MRR</t>
        </is>
      </c>
      <c r="B5" s="26">
        <f>Monthly_Metrics!G40</f>
        <v/>
      </c>
      <c r="C5" s="3" t="inlineStr">
        <is>
          <t>Latest month</t>
        </is>
      </c>
    </row>
    <row r="6">
      <c r="A6" s="25" t="inlineStr">
        <is>
          <t>ARR</t>
        </is>
      </c>
      <c r="B6" s="27">
        <f>Monthly_Metrics!J40</f>
        <v/>
      </c>
      <c r="C6" s="3" t="inlineStr">
        <is>
          <t>MRR x 12</t>
        </is>
      </c>
    </row>
    <row r="7">
      <c r="A7" s="25" t="inlineStr">
        <is>
          <t>YoY ARR growth</t>
        </is>
      </c>
      <c r="B7" s="28">
        <f>Monthly_Metrics!I40</f>
        <v/>
      </c>
      <c r="C7" s="3" t="inlineStr">
        <is>
          <t>vs same month last year</t>
        </is>
      </c>
    </row>
    <row r="8">
      <c r="A8" s="25" t="inlineStr">
        <is>
          <t>Active customers</t>
        </is>
      </c>
      <c r="B8" s="29">
        <f>Monthly_Metrics!F40</f>
        <v/>
      </c>
      <c r="C8" s="3" t="inlineStr">
        <is>
          <t>Opening 120 + cumulative net adds</t>
        </is>
      </c>
    </row>
    <row r="9">
      <c r="A9" s="25" t="inlineStr">
        <is>
          <t>ARPA</t>
        </is>
      </c>
      <c r="B9" s="26">
        <f>Monthly_Metrics!N40</f>
        <v/>
      </c>
      <c r="C9" s="3" t="inlineStr">
        <is>
          <t>MRR / period-end active customers</t>
        </is>
      </c>
    </row>
    <row r="10">
      <c r="A10" s="25" t="inlineStr">
        <is>
          <t>Gross margin (month)</t>
        </is>
      </c>
      <c r="B10" s="28">
        <f>Monthly_Metrics!M40</f>
        <v/>
      </c>
      <c r="C10" s="3" t="inlineStr">
        <is>
          <t>(MRR - COGS) / MRR</t>
        </is>
      </c>
    </row>
    <row r="11">
      <c r="A11" s="25" t="inlineStr">
        <is>
          <t>Gross margin (TTM)</t>
        </is>
      </c>
      <c r="B11" s="28">
        <f>Monthly_Metrics!S40</f>
        <v/>
      </c>
      <c r="C11" s="3" t="inlineStr">
        <is>
          <t>12-month revenue-weighted</t>
        </is>
      </c>
    </row>
    <row r="12">
      <c r="A12" s="25" t="inlineStr">
        <is>
          <t>Logo churn (month)</t>
        </is>
      </c>
      <c r="B12" s="30">
        <f>Monthly_Metrics!O40</f>
        <v/>
      </c>
      <c r="C12" s="3" t="inlineStr">
        <is>
          <t>Churned / opening customers</t>
        </is>
      </c>
    </row>
    <row r="13">
      <c r="A13" s="25" t="inlineStr">
        <is>
          <t>Logo churn (TTM)</t>
        </is>
      </c>
      <c r="B13" s="30">
        <f>Monthly_Metrics!T40</f>
        <v/>
      </c>
      <c r="C13" s="3" t="inlineStr">
        <is>
          <t>Sum churned / sum opening, 12 months</t>
        </is>
      </c>
    </row>
    <row r="14">
      <c r="A14" s="25" t="inlineStr">
        <is>
          <t>Implied customer life (months)</t>
        </is>
      </c>
      <c r="B14" s="31">
        <f>Monthly_Metrics!U40</f>
        <v/>
      </c>
      <c r="C14" s="3" t="inlineStr">
        <is>
          <t>1 / TTM logo churn</t>
        </is>
      </c>
    </row>
    <row r="15">
      <c r="A15" s="32" t="inlineStr">
        <is>
          <t>CAC (TTM)</t>
        </is>
      </c>
      <c r="B15" s="26">
        <f>Monthly_Metrics!R40</f>
        <v/>
      </c>
      <c r="C15" s="3" t="inlineStr">
        <is>
          <t>TTM S&amp;M / TTM NEW customers</t>
        </is>
      </c>
    </row>
    <row r="16">
      <c r="A16" s="32" t="inlineStr">
        <is>
          <t>LTV</t>
        </is>
      </c>
      <c r="B16" s="26">
        <f>Monthly_Metrics!V40</f>
        <v/>
      </c>
      <c r="C16" s="3" t="inlineStr">
        <is>
          <t>ARPA x TTM gross margin / TTM logo churn</t>
        </is>
      </c>
    </row>
    <row r="17">
      <c r="A17" s="25" t="inlineStr">
        <is>
          <t>LTV : CAC</t>
        </is>
      </c>
      <c r="B17" s="31">
        <f>Monthly_Metrics!W40</f>
        <v/>
      </c>
      <c r="C17" s="3" t="inlineStr">
        <is>
          <t>Target &gt;= 3.0 (Assumptions!B12)</t>
        </is>
      </c>
    </row>
    <row r="18">
      <c r="A18" s="32" t="inlineStr">
        <is>
          <t>CAC payback (months)</t>
        </is>
      </c>
      <c r="B18" s="31">
        <f>Monthly_Metrics!X40</f>
        <v/>
      </c>
      <c r="C18" s="3" t="inlineStr">
        <is>
          <t>CAC / (ARPA x TTM gross margin)</t>
        </is>
      </c>
    </row>
    <row r="19">
      <c r="A19" s="25" t="inlineStr">
        <is>
          <t>Magic number (latest quarter)</t>
        </is>
      </c>
      <c r="B19" s="31">
        <f>Quarterly!G16</f>
        <v/>
      </c>
      <c r="C19" s="3" t="inlineStr">
        <is>
          <t>Net new ARR / prior-quarter S&amp;M</t>
        </is>
      </c>
    </row>
    <row r="20">
      <c r="A20" s="25" t="inlineStr">
        <is>
          <t>Contribution margin (month)</t>
        </is>
      </c>
      <c r="B20" s="28">
        <f>Monthly_Metrics!Z40</f>
        <v/>
      </c>
      <c r="C20" s="3" t="inlineStr">
        <is>
          <t>(MRR - COGS - S&amp;M) / MRR. NOT profit - opex is not in the source data.</t>
        </is>
      </c>
    </row>
    <row r="21">
      <c r="A21" s="25" t="inlineStr">
        <is>
          <t>ARR per FTE</t>
        </is>
      </c>
      <c r="B21" s="27">
        <f>Monthly_Metrics!AB40</f>
        <v/>
      </c>
      <c r="C21" s="3" t="inlineStr">
        <is>
          <t>ARR / headcount</t>
        </is>
      </c>
    </row>
    <row r="24">
      <c r="A24" s="1" t="inlineStr">
        <is>
          <t>Sensitivity: CAC under other conventions</t>
        </is>
      </c>
    </row>
    <row r="25" ht="30" customHeight="1">
      <c r="A25" s="4" t="inlineStr">
        <is>
          <t>Convention</t>
        </is>
      </c>
      <c r="B25" s="4" t="inlineStr">
        <is>
          <t>Value</t>
        </is>
      </c>
      <c r="C25" s="4" t="inlineStr">
        <is>
          <t>Comment</t>
        </is>
      </c>
    </row>
    <row r="26">
      <c r="A26" t="inlineStr">
        <is>
          <t>TTM S&amp;M / TTM new logos  (house definition)</t>
        </is>
      </c>
      <c r="B26" s="26">
        <f>SUM(Input_Data!F29:F40)/SUM(Input_Data!C29:C40)</f>
        <v/>
      </c>
      <c r="C26" s="3" t="inlineStr">
        <is>
          <t>What we report. Measures the cost of acquiring a logo.</t>
        </is>
      </c>
    </row>
    <row r="27">
      <c r="A27" t="inlineStr">
        <is>
          <t>TTM S&amp;M / TTM NET adds</t>
        </is>
      </c>
      <c r="B27" s="26">
        <f>SUM(Input_Data!F29:F40)/(SUM(Input_Data!C29:C40)-SUM(Input_Data!D29:D40))</f>
        <v/>
      </c>
      <c r="C27" s="3" t="inlineStr">
        <is>
          <t>Blends acquisition and retention into one number; inflates CAC.</t>
        </is>
      </c>
    </row>
    <row r="28">
      <c r="A28" t="inlineStr">
        <is>
          <t>Latest quarter S&amp;M / latest quarter new logos</t>
        </is>
      </c>
      <c r="B28" s="26">
        <f>SUM(Input_Data!F38:F40)/SUM(Input_Data!C38:C40)</f>
        <v/>
      </c>
      <c r="C28" s="3" t="inlineStr">
        <is>
          <t>More current, noisier.</t>
        </is>
      </c>
    </row>
    <row r="29">
      <c r="A29" t="inlineStr">
        <is>
          <t>All-period S&amp;M / all-period NET adds</t>
        </is>
      </c>
      <c r="B29" s="26">
        <f>SUM(Input_Data!F5:F40)/(SUM(Input_Data!C5:C40)-SUM(Input_Data!D5:D40))</f>
        <v/>
      </c>
      <c r="C29" s="3" t="inlineStr">
        <is>
          <t>The $1,583 on last quarter's slide 7 belongs to this family: S&amp;M / NET adds over Feb-24 to Dec-25 gives $1,584.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4" customWidth="1" min="4" max="4"/>
    <col width="18" customWidth="1" min="5" max="5"/>
    <col width="96" customWidth="1" min="6" max="6"/>
  </cols>
  <sheetData>
    <row r="1">
      <c r="A1" s="1" t="inlineStr">
        <is>
          <t>Reconciliation to last quarter's board deck, slide 7</t>
        </is>
      </c>
    </row>
    <row r="2">
      <c r="A2" s="2" t="inlineStr">
        <is>
          <t>Blue = as printed on the board deck. Computed column is live off this model.</t>
        </is>
      </c>
    </row>
    <row r="4" ht="30" customHeight="1">
      <c r="A4" s="4" t="inlineStr">
        <is>
          <t>Metric</t>
        </is>
      </c>
      <c r="B4" s="4" t="inlineStr">
        <is>
          <t>Board deck</t>
        </is>
      </c>
      <c r="C4" s="4" t="inlineStr">
        <is>
          <t>Computed now</t>
        </is>
      </c>
      <c r="D4" s="4" t="inlineStr">
        <is>
          <t>Delta</t>
        </is>
      </c>
      <c r="E4" s="4" t="inlineStr">
        <is>
          <t>Verdict</t>
        </is>
      </c>
      <c r="F4" s="4" t="inlineStr">
        <is>
          <t>Explanation</t>
        </is>
      </c>
    </row>
    <row r="5" ht="58" customHeight="1">
      <c r="A5" t="inlineStr">
        <is>
          <t>ARPA</t>
        </is>
      </c>
      <c r="B5" s="8" t="n">
        <v>236.27</v>
      </c>
      <c r="C5" s="26">
        <f>Unit_Economics!B9</f>
        <v/>
      </c>
      <c r="D5" s="26">
        <f>C5-B5</f>
        <v/>
      </c>
      <c r="E5" s="33" t="inlineStr">
        <is>
          <t>Ties out</t>
        </is>
      </c>
      <c r="F5" s="3" t="inlineStr">
        <is>
          <t>MRR / period-end active customers. Matches to the cent.</t>
        </is>
      </c>
    </row>
    <row r="6" ht="58" customHeight="1">
      <c r="A6" t="inlineStr">
        <is>
          <t>CAC payback (months)</t>
        </is>
      </c>
      <c r="B6" s="9" t="n">
        <v>6.44</v>
      </c>
      <c r="C6" s="31">
        <f>Unit_Economics!B18</f>
        <v/>
      </c>
      <c r="D6" s="31">
        <f>C6-B6</f>
        <v/>
      </c>
      <c r="E6" s="33" t="inlineStr">
        <is>
          <t>Ties out</t>
        </is>
      </c>
      <c r="F6" s="3" t="inlineStr">
        <is>
          <t>CAC / (ARPA x TTM gross margin). Reproduces at CAC = $1,173 - not at the $1,583 on the same slide.</t>
        </is>
      </c>
    </row>
    <row r="7" ht="58" customHeight="1">
      <c r="A7" t="inlineStr">
        <is>
          <t>CAC (trailing 12 months)</t>
        </is>
      </c>
      <c r="B7" s="8" t="n">
        <v>1583</v>
      </c>
      <c r="C7" s="26">
        <f>Unit_Economics!B15</f>
        <v/>
      </c>
      <c r="D7" s="26">
        <f>C7-B7</f>
        <v/>
      </c>
      <c r="E7" s="34" t="inlineStr">
        <is>
          <t>CONFLICT</t>
        </is>
      </c>
      <c r="F7" s="3" t="inlineStr">
        <is>
          <t>Slide overstates CAC by 35%. On S&amp;M / NEW customers, every 12-month window in the dataset lands between $950 and $1,173 - $1,583 is not reachable. It is reproduced almost exactly by S&amp;M / NET adds over Feb-24 to Dec-25 ($1,584): a stale window with churned logos netted out of the denominator.</t>
        </is>
      </c>
    </row>
    <row r="8" ht="58" customHeight="1">
      <c r="A8" t="inlineStr">
        <is>
          <t>LTV</t>
        </is>
      </c>
      <c r="B8" s="8" t="n">
        <v>8019.93</v>
      </c>
      <c r="C8" s="26">
        <f>Unit_Economics!B16</f>
        <v/>
      </c>
      <c r="D8" s="26">
        <f>C8-B8</f>
        <v/>
      </c>
      <c r="E8" s="33" t="inlineStr">
        <is>
          <t>Definition gap</t>
        </is>
      </c>
      <c r="F8" s="3" t="inlineStr">
        <is>
          <t>0.8% apart - convention, not error. The slide matches ARPA x TTM GM / simple average of monthly churn rates ($8,029); we use customer-weighted TTM churn. Both are defensible; use one.</t>
        </is>
      </c>
    </row>
    <row r="10">
      <c r="A10" s="3" t="inlineStr">
        <is>
          <t>Bottom line: the $1,583 CAC on slide 7 is wrong on the data we now hold - it overstates customer acquisition cost by ~35%. The payback figure printed beside it (6.44 months) can only be reproduced with a CAC of ~$1,173, so the two numbers on that slide contradict each other. Everything downstream of CAC on that slide - LTV:CAC in particular - should be restated.</t>
        </is>
      </c>
    </row>
    <row r="11"/>
    <row r="12"/>
  </sheetData>
  <mergeCells count="1">
    <mergeCell ref="A10:F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11" customWidth="1" min="3" max="3"/>
    <col width="11" customWidth="1" min="4" max="4"/>
    <col width="15" customWidth="1" min="5" max="5"/>
    <col width="11" customWidth="1" min="6" max="6"/>
    <col width="13" customWidth="1" min="7" max="7"/>
    <col width="14" customWidth="1" min="8" max="8"/>
    <col width="13" customWidth="1" min="9" max="9"/>
    <col width="13" customWidth="1" min="10" max="10"/>
    <col width="16" customWidth="1" min="11" max="11"/>
  </cols>
  <sheetData>
    <row r="1">
      <c r="A1" s="1" t="inlineStr">
        <is>
          <t>12-month illustrative projection</t>
        </is>
      </c>
    </row>
    <row r="2">
      <c r="A2" s="2" t="inlineStr">
        <is>
          <t>Driver-based off Assumptions (blue cells there). Illustrative only - it is an extrapolation of the trailing year, not a plan or a forecast.</t>
        </is>
      </c>
    </row>
    <row r="4" ht="30" customHeight="1">
      <c r="A4" s="4" t="inlineStr">
        <is>
          <t>Month</t>
        </is>
      </c>
      <c r="B4" s="4" t="inlineStr">
        <is>
          <t>Opening customers</t>
        </is>
      </c>
      <c r="C4" s="4" t="inlineStr">
        <is>
          <t>New logos</t>
        </is>
      </c>
      <c r="D4" s="4" t="inlineStr">
        <is>
          <t>Churned</t>
        </is>
      </c>
      <c r="E4" s="4" t="inlineStr">
        <is>
          <t>Closing customers</t>
        </is>
      </c>
      <c r="F4" s="4" t="inlineStr">
        <is>
          <t>ARPA</t>
        </is>
      </c>
      <c r="G4" s="4" t="inlineStr">
        <is>
          <t>MRR</t>
        </is>
      </c>
      <c r="H4" s="4" t="inlineStr">
        <is>
          <t>ARR</t>
        </is>
      </c>
      <c r="I4" s="4" t="inlineStr">
        <is>
          <t>Gross profit</t>
        </is>
      </c>
      <c r="J4" s="4" t="inlineStr">
        <is>
          <t>S&amp;M spend</t>
        </is>
      </c>
      <c r="K4" s="4" t="inlineStr">
        <is>
          <t>Contribution (pre-opex)</t>
        </is>
      </c>
    </row>
    <row r="5">
      <c r="A5" t="inlineStr">
        <is>
          <t>2026-10</t>
        </is>
      </c>
      <c r="B5" s="12">
        <f>Monthly_Metrics!F40</f>
        <v/>
      </c>
      <c r="C5" s="12">
        <f>ROUND(Monthly_Metrics!C40*(1+Assumptions!$B$6),0)</f>
        <v/>
      </c>
      <c r="D5" s="12">
        <f>ROUND(B5*Assumptions!$B$7,0)</f>
        <v/>
      </c>
      <c r="E5" s="12">
        <f>B5+C5-D5</f>
        <v/>
      </c>
      <c r="F5" s="13">
        <f>Monthly_Metrics!N40*(1+Assumptions!$B$8)</f>
        <v/>
      </c>
      <c r="G5" s="13">
        <f>E5*F5</f>
        <v/>
      </c>
      <c r="H5" s="15">
        <f>G5*12</f>
        <v/>
      </c>
      <c r="I5" s="13">
        <f>G5*Assumptions!$B$9</f>
        <v/>
      </c>
      <c r="J5" s="13">
        <f>C5*Assumptions!$B$10</f>
        <v/>
      </c>
      <c r="K5" s="13">
        <f>I5-J5</f>
        <v/>
      </c>
    </row>
    <row r="6">
      <c r="A6" s="18" t="inlineStr">
        <is>
          <t>2026-11</t>
        </is>
      </c>
      <c r="B6" s="19">
        <f>E5</f>
        <v/>
      </c>
      <c r="C6" s="19">
        <f>ROUND(C5*(1+Assumptions!$B$6),0)</f>
        <v/>
      </c>
      <c r="D6" s="19">
        <f>ROUND(B6*Assumptions!$B$7,0)</f>
        <v/>
      </c>
      <c r="E6" s="19">
        <f>B6+C6-D6</f>
        <v/>
      </c>
      <c r="F6" s="20">
        <f>F5*(1+Assumptions!$B$8)</f>
        <v/>
      </c>
      <c r="G6" s="20">
        <f>E6*F6</f>
        <v/>
      </c>
      <c r="H6" s="22">
        <f>G6*12</f>
        <v/>
      </c>
      <c r="I6" s="20">
        <f>G6*Assumptions!$B$9</f>
        <v/>
      </c>
      <c r="J6" s="20">
        <f>C6*Assumptions!$B$10</f>
        <v/>
      </c>
      <c r="K6" s="20">
        <f>I6-J6</f>
        <v/>
      </c>
    </row>
    <row r="7">
      <c r="A7" t="inlineStr">
        <is>
          <t>2026-12</t>
        </is>
      </c>
      <c r="B7" s="12">
        <f>E6</f>
        <v/>
      </c>
      <c r="C7" s="12">
        <f>ROUND(C6*(1+Assumptions!$B$6),0)</f>
        <v/>
      </c>
      <c r="D7" s="12">
        <f>ROUND(B7*Assumptions!$B$7,0)</f>
        <v/>
      </c>
      <c r="E7" s="12">
        <f>B7+C7-D7</f>
        <v/>
      </c>
      <c r="F7" s="13">
        <f>F6*(1+Assumptions!$B$8)</f>
        <v/>
      </c>
      <c r="G7" s="13">
        <f>E7*F7</f>
        <v/>
      </c>
      <c r="H7" s="15">
        <f>G7*12</f>
        <v/>
      </c>
      <c r="I7" s="13">
        <f>G7*Assumptions!$B$9</f>
        <v/>
      </c>
      <c r="J7" s="13">
        <f>C7*Assumptions!$B$10</f>
        <v/>
      </c>
      <c r="K7" s="13">
        <f>I7-J7</f>
        <v/>
      </c>
    </row>
    <row r="8">
      <c r="A8" s="18" t="inlineStr">
        <is>
          <t>2027-01</t>
        </is>
      </c>
      <c r="B8" s="19">
        <f>E7</f>
        <v/>
      </c>
      <c r="C8" s="19">
        <f>ROUND(C7*(1+Assumptions!$B$6),0)</f>
        <v/>
      </c>
      <c r="D8" s="19">
        <f>ROUND(B8*Assumptions!$B$7,0)</f>
        <v/>
      </c>
      <c r="E8" s="19">
        <f>B8+C8-D8</f>
        <v/>
      </c>
      <c r="F8" s="20">
        <f>F7*(1+Assumptions!$B$8)</f>
        <v/>
      </c>
      <c r="G8" s="20">
        <f>E8*F8</f>
        <v/>
      </c>
      <c r="H8" s="22">
        <f>G8*12</f>
        <v/>
      </c>
      <c r="I8" s="20">
        <f>G8*Assumptions!$B$9</f>
        <v/>
      </c>
      <c r="J8" s="20">
        <f>C8*Assumptions!$B$10</f>
        <v/>
      </c>
      <c r="K8" s="20">
        <f>I8-J8</f>
        <v/>
      </c>
    </row>
    <row r="9">
      <c r="A9" t="inlineStr">
        <is>
          <t>2027-02</t>
        </is>
      </c>
      <c r="B9" s="12">
        <f>E8</f>
        <v/>
      </c>
      <c r="C9" s="12">
        <f>ROUND(C8*(1+Assumptions!$B$6),0)</f>
        <v/>
      </c>
      <c r="D9" s="12">
        <f>ROUND(B9*Assumptions!$B$7,0)</f>
        <v/>
      </c>
      <c r="E9" s="12">
        <f>B9+C9-D9</f>
        <v/>
      </c>
      <c r="F9" s="13">
        <f>F8*(1+Assumptions!$B$8)</f>
        <v/>
      </c>
      <c r="G9" s="13">
        <f>E9*F9</f>
        <v/>
      </c>
      <c r="H9" s="15">
        <f>G9*12</f>
        <v/>
      </c>
      <c r="I9" s="13">
        <f>G9*Assumptions!$B$9</f>
        <v/>
      </c>
      <c r="J9" s="13">
        <f>C9*Assumptions!$B$10</f>
        <v/>
      </c>
      <c r="K9" s="13">
        <f>I9-J9</f>
        <v/>
      </c>
    </row>
    <row r="10">
      <c r="A10" s="18" t="inlineStr">
        <is>
          <t>2027-03</t>
        </is>
      </c>
      <c r="B10" s="19">
        <f>E9</f>
        <v/>
      </c>
      <c r="C10" s="19">
        <f>ROUND(C9*(1+Assumptions!$B$6),0)</f>
        <v/>
      </c>
      <c r="D10" s="19">
        <f>ROUND(B10*Assumptions!$B$7,0)</f>
        <v/>
      </c>
      <c r="E10" s="19">
        <f>B10+C10-D10</f>
        <v/>
      </c>
      <c r="F10" s="20">
        <f>F9*(1+Assumptions!$B$8)</f>
        <v/>
      </c>
      <c r="G10" s="20">
        <f>E10*F10</f>
        <v/>
      </c>
      <c r="H10" s="22">
        <f>G10*12</f>
        <v/>
      </c>
      <c r="I10" s="20">
        <f>G10*Assumptions!$B$9</f>
        <v/>
      </c>
      <c r="J10" s="20">
        <f>C10*Assumptions!$B$10</f>
        <v/>
      </c>
      <c r="K10" s="20">
        <f>I10-J10</f>
        <v/>
      </c>
    </row>
    <row r="11">
      <c r="A11" t="inlineStr">
        <is>
          <t>2027-04</t>
        </is>
      </c>
      <c r="B11" s="12">
        <f>E10</f>
        <v/>
      </c>
      <c r="C11" s="12">
        <f>ROUND(C10*(1+Assumptions!$B$6),0)</f>
        <v/>
      </c>
      <c r="D11" s="12">
        <f>ROUND(B11*Assumptions!$B$7,0)</f>
        <v/>
      </c>
      <c r="E11" s="12">
        <f>B11+C11-D11</f>
        <v/>
      </c>
      <c r="F11" s="13">
        <f>F10*(1+Assumptions!$B$8)</f>
        <v/>
      </c>
      <c r="G11" s="13">
        <f>E11*F11</f>
        <v/>
      </c>
      <c r="H11" s="15">
        <f>G11*12</f>
        <v/>
      </c>
      <c r="I11" s="13">
        <f>G11*Assumptions!$B$9</f>
        <v/>
      </c>
      <c r="J11" s="13">
        <f>C11*Assumptions!$B$10</f>
        <v/>
      </c>
      <c r="K11" s="13">
        <f>I11-J11</f>
        <v/>
      </c>
    </row>
    <row r="12">
      <c r="A12" s="18" t="inlineStr">
        <is>
          <t>2027-05</t>
        </is>
      </c>
      <c r="B12" s="19">
        <f>E11</f>
        <v/>
      </c>
      <c r="C12" s="19">
        <f>ROUND(C11*(1+Assumptions!$B$6),0)</f>
        <v/>
      </c>
      <c r="D12" s="19">
        <f>ROUND(B12*Assumptions!$B$7,0)</f>
        <v/>
      </c>
      <c r="E12" s="19">
        <f>B12+C12-D12</f>
        <v/>
      </c>
      <c r="F12" s="20">
        <f>F11*(1+Assumptions!$B$8)</f>
        <v/>
      </c>
      <c r="G12" s="20">
        <f>E12*F12</f>
        <v/>
      </c>
      <c r="H12" s="22">
        <f>G12*12</f>
        <v/>
      </c>
      <c r="I12" s="20">
        <f>G12*Assumptions!$B$9</f>
        <v/>
      </c>
      <c r="J12" s="20">
        <f>C12*Assumptions!$B$10</f>
        <v/>
      </c>
      <c r="K12" s="20">
        <f>I12-J12</f>
        <v/>
      </c>
    </row>
    <row r="13">
      <c r="A13" t="inlineStr">
        <is>
          <t>2027-06</t>
        </is>
      </c>
      <c r="B13" s="12">
        <f>E12</f>
        <v/>
      </c>
      <c r="C13" s="12">
        <f>ROUND(C12*(1+Assumptions!$B$6),0)</f>
        <v/>
      </c>
      <c r="D13" s="12">
        <f>ROUND(B13*Assumptions!$B$7,0)</f>
        <v/>
      </c>
      <c r="E13" s="12">
        <f>B13+C13-D13</f>
        <v/>
      </c>
      <c r="F13" s="13">
        <f>F12*(1+Assumptions!$B$8)</f>
        <v/>
      </c>
      <c r="G13" s="13">
        <f>E13*F13</f>
        <v/>
      </c>
      <c r="H13" s="15">
        <f>G13*12</f>
        <v/>
      </c>
      <c r="I13" s="13">
        <f>G13*Assumptions!$B$9</f>
        <v/>
      </c>
      <c r="J13" s="13">
        <f>C13*Assumptions!$B$10</f>
        <v/>
      </c>
      <c r="K13" s="13">
        <f>I13-J13</f>
        <v/>
      </c>
    </row>
    <row r="14">
      <c r="A14" s="18" t="inlineStr">
        <is>
          <t>2027-07</t>
        </is>
      </c>
      <c r="B14" s="19">
        <f>E13</f>
        <v/>
      </c>
      <c r="C14" s="19">
        <f>ROUND(C13*(1+Assumptions!$B$6),0)</f>
        <v/>
      </c>
      <c r="D14" s="19">
        <f>ROUND(B14*Assumptions!$B$7,0)</f>
        <v/>
      </c>
      <c r="E14" s="19">
        <f>B14+C14-D14</f>
        <v/>
      </c>
      <c r="F14" s="20">
        <f>F13*(1+Assumptions!$B$8)</f>
        <v/>
      </c>
      <c r="G14" s="20">
        <f>E14*F14</f>
        <v/>
      </c>
      <c r="H14" s="22">
        <f>G14*12</f>
        <v/>
      </c>
      <c r="I14" s="20">
        <f>G14*Assumptions!$B$9</f>
        <v/>
      </c>
      <c r="J14" s="20">
        <f>C14*Assumptions!$B$10</f>
        <v/>
      </c>
      <c r="K14" s="20">
        <f>I14-J14</f>
        <v/>
      </c>
    </row>
    <row r="15">
      <c r="A15" t="inlineStr">
        <is>
          <t>2027-08</t>
        </is>
      </c>
      <c r="B15" s="12">
        <f>E14</f>
        <v/>
      </c>
      <c r="C15" s="12">
        <f>ROUND(C14*(1+Assumptions!$B$6),0)</f>
        <v/>
      </c>
      <c r="D15" s="12">
        <f>ROUND(B15*Assumptions!$B$7,0)</f>
        <v/>
      </c>
      <c r="E15" s="12">
        <f>B15+C15-D15</f>
        <v/>
      </c>
      <c r="F15" s="13">
        <f>F14*(1+Assumptions!$B$8)</f>
        <v/>
      </c>
      <c r="G15" s="13">
        <f>E15*F15</f>
        <v/>
      </c>
      <c r="H15" s="15">
        <f>G15*12</f>
        <v/>
      </c>
      <c r="I15" s="13">
        <f>G15*Assumptions!$B$9</f>
        <v/>
      </c>
      <c r="J15" s="13">
        <f>C15*Assumptions!$B$10</f>
        <v/>
      </c>
      <c r="K15" s="13">
        <f>I15-J15</f>
        <v/>
      </c>
    </row>
    <row r="16">
      <c r="A16" s="18" t="inlineStr">
        <is>
          <t>2027-09</t>
        </is>
      </c>
      <c r="B16" s="19">
        <f>E15</f>
        <v/>
      </c>
      <c r="C16" s="19">
        <f>ROUND(C15*(1+Assumptions!$B$6),0)</f>
        <v/>
      </c>
      <c r="D16" s="19">
        <f>ROUND(B16*Assumptions!$B$7,0)</f>
        <v/>
      </c>
      <c r="E16" s="19">
        <f>B16+C16-D16</f>
        <v/>
      </c>
      <c r="F16" s="20">
        <f>F15*(1+Assumptions!$B$8)</f>
        <v/>
      </c>
      <c r="G16" s="20">
        <f>E16*F16</f>
        <v/>
      </c>
      <c r="H16" s="22">
        <f>G16*12</f>
        <v/>
      </c>
      <c r="I16" s="20">
        <f>G16*Assumptions!$B$9</f>
        <v/>
      </c>
      <c r="J16" s="20">
        <f>C16*Assumptions!$B$10</f>
        <v/>
      </c>
      <c r="K16" s="20">
        <f>I16-J16</f>
        <v/>
      </c>
    </row>
    <row r="18">
      <c r="A18" s="3" t="inlineStr">
        <is>
          <t>Contribution is MRR less COGS less S&amp;M. R&amp;D and G&amp;A are absent from the source data, so this is not EBITDA and implies nothing about burn or runway.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2026-09-10T14:47:02Z</dcterms:created>
  <dcterms:modified xmlns:dcterms="http://purl.org/dc/terms/" xmlns:xsi="http://www.w3.org/2001/XMLSchema-instance" xsi:type="dcterms:W3CDTF">2026-09-10T14:47:02Z</dcterms:modified>
</cp:coreProperties>
</file>