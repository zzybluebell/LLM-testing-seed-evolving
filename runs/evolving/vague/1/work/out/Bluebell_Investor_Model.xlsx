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onthly_Model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Slide7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"/>
    <numFmt numFmtId="165" formatCode="&quot;$&quot;#,##0.00"/>
    <numFmt numFmtId="166" formatCode="&quot;$&quot;#,##0"/>
    <numFmt numFmtId="167" formatCode="0.00&quot;x&quot;"/>
    <numFmt numFmtId="168" formatCode="0.0%"/>
  </numFmts>
  <fonts count="10">
    <font>
      <name val="Calibri"/>
      <family val="2"/>
      <color theme="1"/>
      <sz val="11"/>
      <scheme val="minor"/>
    </font>
    <font>
      <b val="1"/>
      <color rgb="001F2A4A"/>
      <sz val="15"/>
    </font>
    <font>
      <color rgb="0052514E"/>
      <sz val="10"/>
    </font>
    <font>
      <b val="1"/>
      <color rgb="001F2A4A"/>
      <sz val="11"/>
    </font>
    <font>
      <b val="1"/>
      <sz val="10"/>
    </font>
    <font>
      <color rgb="00333333"/>
      <sz val="10"/>
    </font>
    <font>
      <name val="Calibri"/>
      <b val="1"/>
      <color rgb="00FFFFFF"/>
      <sz val="10"/>
    </font>
    <font>
      <b val="1"/>
      <color rgb="002A78D6"/>
    </font>
    <font>
      <color rgb="0052514E"/>
      <sz val="9.5"/>
    </font>
    <font>
      <sz val="9.5"/>
    </font>
  </fonts>
  <fills count="7">
    <fill>
      <patternFill/>
    </fill>
    <fill>
      <patternFill patternType="gray125"/>
    </fill>
    <fill>
      <patternFill patternType="solid">
        <fgColor rgb="001F2A4A"/>
      </patternFill>
    </fill>
    <fill>
      <patternFill patternType="solid">
        <fgColor rgb="00F4F7FB"/>
      </patternFill>
    </fill>
    <fill>
      <patternFill patternType="solid">
        <fgColor rgb="00E5F4E5"/>
      </patternFill>
    </fill>
    <fill>
      <patternFill patternType="solid">
        <fgColor rgb="00FBE3E3"/>
      </patternFill>
    </fill>
    <fill>
      <patternFill patternType="solid">
        <fgColor rgb="00FFF4DE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" fontId="7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166" fontId="0" fillId="3" borderId="1" pivotButton="0" quotePrefix="0" xfId="0"/>
    <xf numFmtId="10" fontId="0" fillId="3" borderId="1" pivotButton="0" quotePrefix="0" xfId="0"/>
    <xf numFmtId="2" fontId="0" fillId="3" borderId="1" pivotButton="0" quotePrefix="0" xfId="0"/>
    <xf numFmtId="167" fontId="0" fillId="3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/>
    </xf>
    <xf numFmtId="0" fontId="8" fillId="0" borderId="1" applyAlignment="1" pivotButton="0" quotePrefix="0" xfId="0">
      <alignment vertical="top" wrapText="1"/>
    </xf>
    <xf numFmtId="0" fontId="4" fillId="3" borderId="1" pivotButton="0" quotePrefix="0" xfId="0"/>
    <xf numFmtId="166" fontId="0" fillId="3" borderId="1" applyAlignment="1" pivotButton="0" quotePrefix="0" xfId="0">
      <alignment horizontal="right"/>
    </xf>
    <xf numFmtId="0" fontId="8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right"/>
    </xf>
    <xf numFmtId="168" fontId="0" fillId="3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0" fontId="9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Bluebell SaaS Pte Ltd — Investor Update Model</t>
        </is>
      </c>
    </row>
    <row r="3">
      <c r="B3" s="2" t="inlineStr">
        <is>
          <t>Period covered: Oct 2023 – Sep 2026 (36 months).  Prepared 11 Sep 2026.</t>
        </is>
      </c>
    </row>
    <row r="4">
      <c r="B4" s="2" t="inlineStr">
        <is>
          <t>Source: data/financials.xlsx (sheet 'raw').  All metrics on Monthly_Model / KPI_Summary are live formulas — change Raw_Data and everything recalculates.</t>
        </is>
      </c>
    </row>
    <row r="6" ht="14" customHeight="1">
      <c r="B6" s="3" t="inlineStr">
        <is>
          <t>ASSUMPTIONS</t>
        </is>
      </c>
      <c r="C6" s="4" t="inlineStr"/>
    </row>
    <row r="7" ht="28" customHeight="1">
      <c r="B7" s="5" t="inlineStr">
        <is>
          <t>Starting customers</t>
        </is>
      </c>
      <c r="C7" s="6" t="inlineStr">
        <is>
          <t>120 active customers at 30 Sep 2023 (given). Ending customers rolls forward: beginning + new − churned = 757 at 30 Sep 2026.</t>
        </is>
      </c>
    </row>
    <row r="8" ht="42" customHeight="1">
      <c r="B8" s="5" t="inlineStr">
        <is>
          <t>Revenue</t>
        </is>
      </c>
      <c r="C8" s="6" t="inlineStr">
        <is>
          <t>MRR is treated as recognised monthly subscription revenue (no other revenue line provided). ARR = MRR × 12. No expansion/contraction split is available in the source data, so MRR-based net revenue retention cannot be computed; logo retention is used instead.</t>
        </is>
      </c>
    </row>
    <row r="9" ht="42" customHeight="1">
      <c r="B9" s="5" t="inlineStr">
        <is>
          <t>Costs</t>
        </is>
      </c>
      <c r="C9" s="6" t="inlineStr">
        <is>
          <t>COGS and sales &amp; marketing (S&amp;M) spend are as provided. No other opex categories or payroll data were provided; headcount is shown for context. Contribution margin shown in the deck = TTM revenue − COGS − S&amp;M.</t>
        </is>
      </c>
    </row>
    <row r="10" ht="28" customHeight="1">
      <c r="B10" s="3" t="inlineStr">
        <is>
          <t>ARPA</t>
        </is>
      </c>
      <c r="C10" s="4" t="inlineStr">
        <is>
          <t>Month-end MRR ÷ active customers that month.</t>
        </is>
      </c>
    </row>
    <row r="11" ht="28" customHeight="1">
      <c r="B11" s="5" t="inlineStr">
        <is>
          <t>Gross margin</t>
        </is>
      </c>
      <c r="C11" s="6" t="inlineStr">
        <is>
          <t xml:space="preserve">(TTM revenue − TTM COGS) ÷ TTM revenue on a rolling 12-month basis. Sep-2026: 77.14%. </t>
        </is>
      </c>
    </row>
    <row r="12" ht="28" customHeight="1">
      <c r="B12" s="5" t="inlineStr">
        <is>
          <t>Logo churn</t>
        </is>
      </c>
      <c r="C12" s="6" t="inlineStr">
        <is>
          <t>Monthly = churned ÷ beginning customers. TTM steady-state = TTM churned ÷ sum of beginning customers; TTM average = average of the 12 monthly rates. LTV uses the average-monthly rate.</t>
        </is>
      </c>
    </row>
    <row r="13" ht="42" customHeight="1">
      <c r="B13" s="3" t="inlineStr">
        <is>
          <t>CAC</t>
        </is>
      </c>
      <c r="C13" s="4" t="inlineStr">
        <is>
          <t>Headline CAC = TTM S&amp;M ÷ gross new customers in the same 12 months ($1,172.91). A non-standard net-add variant = S&amp;M ÷ (new − churned) is shown for transparency ($1,878.39 current; $1,578.59 at Aug 2025 — the figure on the prior board deck).</t>
        </is>
      </c>
    </row>
    <row r="14" ht="28" customHeight="1">
      <c r="B14" s="3" t="inlineStr">
        <is>
          <t>LTV</t>
        </is>
      </c>
      <c r="C14" s="4" t="inlineStr">
        <is>
          <t>ARPA × gross margin ÷ monthly logo churn = $8,028.95. Alternative steady-state churn basis: $8,081.31. Both are simple steady-state approximations; no discounting.</t>
        </is>
      </c>
    </row>
    <row r="15" ht="28" customHeight="1">
      <c r="B15" s="5" t="inlineStr">
        <is>
          <t>CAC payback</t>
        </is>
      </c>
      <c r="C15" s="6" t="inlineStr">
        <is>
          <t>CAC ÷ (ARPA × gross margin) = 6.44 months — gross profit per customer-month in the denominator.</t>
        </is>
      </c>
    </row>
    <row r="16" ht="42" customHeight="1">
      <c r="B16" s="5" t="inlineStr">
        <is>
          <t>Sheet guide</t>
        </is>
      </c>
      <c r="C16" s="6" t="inlineStr">
        <is>
          <t>Raw_Data = verified copy of the source export. Monthly_Model = rollforward + monthly ratios + rolling-TTM unit economics (the formula engine). KPI_Summary = current vs end-Q2 snapshot. Slide7_Reconciliation = line-by-line check of the four figures on slide 7 of the Q2 board deck.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month</t>
        </is>
      </c>
      <c r="B1" s="7" t="inlineStr">
        <is>
          <t>mrr</t>
        </is>
      </c>
      <c r="C1" s="7" t="inlineStr">
        <is>
          <t>new_customers</t>
        </is>
      </c>
      <c r="D1" s="7" t="inlineStr">
        <is>
          <t>churned_customers</t>
        </is>
      </c>
      <c r="E1" s="7" t="inlineStr">
        <is>
          <t>cogs</t>
        </is>
      </c>
      <c r="F1" s="7" t="inlineStr">
        <is>
          <t>sales_marketing_spend</t>
        </is>
      </c>
      <c r="G1" s="7" t="inlineStr">
        <is>
          <t>headcount</t>
        </is>
      </c>
    </row>
    <row r="2">
      <c r="A2" s="8" t="inlineStr">
        <is>
          <t>2023-10</t>
        </is>
      </c>
      <c r="B2" s="9" t="n">
        <v>22955.41</v>
      </c>
      <c r="C2" s="10" t="n">
        <v>14</v>
      </c>
      <c r="D2" s="9" t="n">
        <v>4</v>
      </c>
      <c r="E2" s="9" t="n">
        <v>6427.51</v>
      </c>
      <c r="F2" s="9" t="n">
        <v>12146.46</v>
      </c>
      <c r="G2" s="10" t="n">
        <v>9</v>
      </c>
    </row>
    <row r="3">
      <c r="A3" s="8" t="inlineStr">
        <is>
          <t>2023-11</t>
        </is>
      </c>
      <c r="B3" s="9" t="n">
        <v>25680.63</v>
      </c>
      <c r="C3" s="10" t="n">
        <v>14</v>
      </c>
      <c r="D3" s="9" t="n">
        <v>4</v>
      </c>
      <c r="E3" s="9" t="n">
        <v>7146.55</v>
      </c>
      <c r="F3" s="9" t="n">
        <v>13079.62</v>
      </c>
      <c r="G3" s="10" t="n">
        <v>10</v>
      </c>
    </row>
    <row r="4">
      <c r="A4" s="8" t="inlineStr">
        <is>
          <t>2023-12</t>
        </is>
      </c>
      <c r="B4" s="9" t="n">
        <v>27600.88</v>
      </c>
      <c r="C4" s="10" t="n">
        <v>17</v>
      </c>
      <c r="D4" s="9" t="n">
        <v>4</v>
      </c>
      <c r="E4" s="9" t="n">
        <v>7633.61</v>
      </c>
      <c r="F4" s="9" t="n">
        <v>15396.65</v>
      </c>
      <c r="G4" s="10" t="n">
        <v>10</v>
      </c>
    </row>
    <row r="5">
      <c r="A5" s="8" t="inlineStr">
        <is>
          <t>2024-01</t>
        </is>
      </c>
      <c r="B5" s="9" t="n">
        <v>29838.64</v>
      </c>
      <c r="C5" s="10" t="n">
        <v>15</v>
      </c>
      <c r="D5" s="9" t="n">
        <v>5</v>
      </c>
      <c r="E5" s="9" t="n">
        <v>8201.360000000001</v>
      </c>
      <c r="F5" s="9" t="n">
        <v>13897.61</v>
      </c>
      <c r="G5" s="10" t="n">
        <v>11</v>
      </c>
    </row>
    <row r="6">
      <c r="A6" s="8" t="inlineStr">
        <is>
          <t>2024-02</t>
        </is>
      </c>
      <c r="B6" s="9" t="n">
        <v>31936.87</v>
      </c>
      <c r="C6" s="10" t="n">
        <v>15</v>
      </c>
      <c r="D6" s="9" t="n">
        <v>5</v>
      </c>
      <c r="E6" s="9" t="n">
        <v>8723.33</v>
      </c>
      <c r="F6" s="9" t="n">
        <v>14350.37</v>
      </c>
      <c r="G6" s="10" t="n">
        <v>12</v>
      </c>
    </row>
    <row r="7">
      <c r="A7" s="8" t="inlineStr">
        <is>
          <t>2024-03</t>
        </is>
      </c>
      <c r="B7" s="9" t="n">
        <v>34682.07</v>
      </c>
      <c r="C7" s="10" t="n">
        <v>18</v>
      </c>
      <c r="D7" s="9" t="n">
        <v>5</v>
      </c>
      <c r="E7" s="9" t="n">
        <v>9413.700000000001</v>
      </c>
      <c r="F7" s="9" t="n">
        <v>17213.82</v>
      </c>
      <c r="G7" s="10" t="n">
        <v>13</v>
      </c>
    </row>
    <row r="8">
      <c r="A8" s="8" t="inlineStr">
        <is>
          <t>2024-04</t>
        </is>
      </c>
      <c r="B8" s="9" t="n">
        <v>37305.89</v>
      </c>
      <c r="C8" s="10" t="n">
        <v>20</v>
      </c>
      <c r="D8" s="9" t="n">
        <v>6</v>
      </c>
      <c r="E8" s="9" t="n">
        <v>10061.93</v>
      </c>
      <c r="F8" s="9" t="n">
        <v>19959.66</v>
      </c>
      <c r="G8" s="10" t="n">
        <v>13</v>
      </c>
    </row>
    <row r="9">
      <c r="A9" s="8" t="inlineStr">
        <is>
          <t>2024-05</t>
        </is>
      </c>
      <c r="B9" s="9" t="n">
        <v>40825.45</v>
      </c>
      <c r="C9" s="10" t="n">
        <v>20</v>
      </c>
      <c r="D9" s="9" t="n">
        <v>6</v>
      </c>
      <c r="E9" s="9" t="n">
        <v>10941.22</v>
      </c>
      <c r="F9" s="9" t="n">
        <v>18141.63</v>
      </c>
      <c r="G9" s="10" t="n">
        <v>14</v>
      </c>
    </row>
    <row r="10">
      <c r="A10" s="8" t="inlineStr">
        <is>
          <t>2024-06</t>
        </is>
      </c>
      <c r="B10" s="9" t="n">
        <v>44263.07</v>
      </c>
      <c r="C10" s="10" t="n">
        <v>22</v>
      </c>
      <c r="D10" s="9" t="n">
        <v>6</v>
      </c>
      <c r="E10" s="9" t="n">
        <v>11786.62</v>
      </c>
      <c r="F10" s="9" t="n">
        <v>19920.09</v>
      </c>
      <c r="G10" s="10" t="n">
        <v>15</v>
      </c>
    </row>
    <row r="11">
      <c r="A11" s="8" t="inlineStr">
        <is>
          <t>2024-07</t>
        </is>
      </c>
      <c r="B11" s="9" t="n">
        <v>47951.09</v>
      </c>
      <c r="C11" s="10" t="n">
        <v>19</v>
      </c>
      <c r="D11" s="9" t="n">
        <v>7</v>
      </c>
      <c r="E11" s="9" t="n">
        <v>12686.49</v>
      </c>
      <c r="F11" s="9" t="n">
        <v>18873.83</v>
      </c>
      <c r="G11" s="10" t="n">
        <v>15</v>
      </c>
    </row>
    <row r="12">
      <c r="A12" s="8" t="inlineStr">
        <is>
          <t>2024-08</t>
        </is>
      </c>
      <c r="B12" s="9" t="n">
        <v>51330.25</v>
      </c>
      <c r="C12" s="10" t="n">
        <v>23</v>
      </c>
      <c r="D12" s="9" t="n">
        <v>7</v>
      </c>
      <c r="E12" s="9" t="n">
        <v>13492.52</v>
      </c>
      <c r="F12" s="9" t="n">
        <v>22802.84</v>
      </c>
      <c r="G12" s="10" t="n">
        <v>16</v>
      </c>
    </row>
    <row r="13">
      <c r="A13" s="8" t="inlineStr">
        <is>
          <t>2024-09</t>
        </is>
      </c>
      <c r="B13" s="9" t="n">
        <v>54420.02</v>
      </c>
      <c r="C13" s="10" t="n">
        <v>24</v>
      </c>
      <c r="D13" s="9" t="n">
        <v>7</v>
      </c>
      <c r="E13" s="9" t="n">
        <v>14211.4</v>
      </c>
      <c r="F13" s="9" t="n">
        <v>24061.55</v>
      </c>
      <c r="G13" s="10" t="n">
        <v>17</v>
      </c>
    </row>
    <row r="14">
      <c r="A14" s="8" t="inlineStr">
        <is>
          <t>2024-10</t>
        </is>
      </c>
      <c r="B14" s="9" t="n">
        <v>58642.99</v>
      </c>
      <c r="C14" s="10" t="n">
        <v>24</v>
      </c>
      <c r="D14" s="9" t="n">
        <v>8</v>
      </c>
      <c r="E14" s="9" t="n">
        <v>15213.67</v>
      </c>
      <c r="F14" s="9" t="n">
        <v>25461.49</v>
      </c>
      <c r="G14" s="10" t="n">
        <v>18</v>
      </c>
    </row>
    <row r="15">
      <c r="A15" s="8" t="inlineStr">
        <is>
          <t>2024-11</t>
        </is>
      </c>
      <c r="B15" s="9" t="n">
        <v>62609.88</v>
      </c>
      <c r="C15" s="10" t="n">
        <v>24</v>
      </c>
      <c r="D15" s="9" t="n">
        <v>8</v>
      </c>
      <c r="E15" s="9" t="n">
        <v>16135.46</v>
      </c>
      <c r="F15" s="9" t="n">
        <v>22510.32</v>
      </c>
      <c r="G15" s="10" t="n">
        <v>18</v>
      </c>
    </row>
    <row r="16">
      <c r="A16" s="8" t="inlineStr">
        <is>
          <t>2024-12</t>
        </is>
      </c>
      <c r="B16" s="9" t="n">
        <v>65134.61</v>
      </c>
      <c r="C16" s="10" t="n">
        <v>23</v>
      </c>
      <c r="D16" s="9" t="n">
        <v>8</v>
      </c>
      <c r="E16" s="9" t="n">
        <v>16674.46</v>
      </c>
      <c r="F16" s="9" t="n">
        <v>21882.71</v>
      </c>
      <c r="G16" s="10" t="n">
        <v>19</v>
      </c>
    </row>
    <row r="17">
      <c r="A17" s="8" t="inlineStr">
        <is>
          <t>2025-01</t>
        </is>
      </c>
      <c r="B17" s="9" t="n">
        <v>68219.28</v>
      </c>
      <c r="C17" s="10" t="n">
        <v>24</v>
      </c>
      <c r="D17" s="9" t="n">
        <v>9</v>
      </c>
      <c r="E17" s="9" t="n">
        <v>17347.19</v>
      </c>
      <c r="F17" s="9" t="n">
        <v>23808.77</v>
      </c>
      <c r="G17" s="10" t="n">
        <v>20</v>
      </c>
    </row>
    <row r="18">
      <c r="A18" s="8" t="inlineStr">
        <is>
          <t>2025-02</t>
        </is>
      </c>
      <c r="B18" s="9" t="n">
        <v>73239.00999999999</v>
      </c>
      <c r="C18" s="10" t="n">
        <v>27</v>
      </c>
      <c r="D18" s="9" t="n">
        <v>9</v>
      </c>
      <c r="E18" s="9" t="n">
        <v>18498.08</v>
      </c>
      <c r="F18" s="9" t="n">
        <v>27421.21</v>
      </c>
      <c r="G18" s="10" t="n">
        <v>20</v>
      </c>
    </row>
    <row r="19">
      <c r="A19" s="8" t="inlineStr">
        <is>
          <t>2025-03</t>
        </is>
      </c>
      <c r="B19" s="9" t="n">
        <v>76868.77</v>
      </c>
      <c r="C19" s="10" t="n">
        <v>25</v>
      </c>
      <c r="D19" s="9" t="n">
        <v>9</v>
      </c>
      <c r="E19" s="9" t="n">
        <v>19283.08</v>
      </c>
      <c r="F19" s="9" t="n">
        <v>27969.32</v>
      </c>
      <c r="G19" s="10" t="n">
        <v>21</v>
      </c>
    </row>
    <row r="20">
      <c r="A20" s="8" t="inlineStr">
        <is>
          <t>2025-04</t>
        </is>
      </c>
      <c r="B20" s="9" t="n">
        <v>82381.48</v>
      </c>
      <c r="C20" s="10" t="n">
        <v>28</v>
      </c>
      <c r="D20" s="9" t="n">
        <v>10</v>
      </c>
      <c r="E20" s="9" t="n">
        <v>20524.76</v>
      </c>
      <c r="F20" s="9" t="n">
        <v>27966.72</v>
      </c>
      <c r="G20" s="10" t="n">
        <v>22</v>
      </c>
    </row>
    <row r="21">
      <c r="A21" s="8" t="inlineStr">
        <is>
          <t>2025-05</t>
        </is>
      </c>
      <c r="B21" s="9" t="n">
        <v>85561.42999999999</v>
      </c>
      <c r="C21" s="10" t="n">
        <v>29</v>
      </c>
      <c r="D21" s="9" t="n">
        <v>10</v>
      </c>
      <c r="E21" s="9" t="n">
        <v>21170.34</v>
      </c>
      <c r="F21" s="9" t="n">
        <v>30228.37</v>
      </c>
      <c r="G21" s="10" t="n">
        <v>23</v>
      </c>
    </row>
    <row r="22">
      <c r="A22" s="8" t="inlineStr">
        <is>
          <t>2025-06</t>
        </is>
      </c>
      <c r="B22" s="9" t="n">
        <v>92658.86</v>
      </c>
      <c r="C22" s="10" t="n">
        <v>32</v>
      </c>
      <c r="D22" s="9" t="n">
        <v>10</v>
      </c>
      <c r="E22" s="9" t="n">
        <v>22767.61</v>
      </c>
      <c r="F22" s="9" t="n">
        <v>34598.12</v>
      </c>
      <c r="G22" s="10" t="n">
        <v>23</v>
      </c>
    </row>
    <row r="23">
      <c r="A23" s="8" t="inlineStr">
        <is>
          <t>2025-07</t>
        </is>
      </c>
      <c r="B23" s="9" t="n">
        <v>98533.00999999999</v>
      </c>
      <c r="C23" s="10" t="n">
        <v>31</v>
      </c>
      <c r="D23" s="9" t="n">
        <v>11</v>
      </c>
      <c r="E23" s="9" t="n">
        <v>24042.05</v>
      </c>
      <c r="F23" s="9" t="n">
        <v>34958.48</v>
      </c>
      <c r="G23" s="10" t="n">
        <v>24</v>
      </c>
    </row>
    <row r="24">
      <c r="A24" s="8" t="inlineStr">
        <is>
          <t>2025-08</t>
        </is>
      </c>
      <c r="B24" s="9" t="n">
        <v>99983.31</v>
      </c>
      <c r="C24" s="10" t="n">
        <v>29</v>
      </c>
      <c r="D24" s="9" t="n">
        <v>11</v>
      </c>
      <c r="E24" s="9" t="n">
        <v>24224.53</v>
      </c>
      <c r="F24" s="9" t="n">
        <v>30636.43</v>
      </c>
      <c r="G24" s="10" t="n">
        <v>25</v>
      </c>
    </row>
    <row r="25">
      <c r="A25" s="8" t="inlineStr">
        <is>
          <t>2025-09</t>
        </is>
      </c>
      <c r="B25" s="9" t="n">
        <v>105409.43</v>
      </c>
      <c r="C25" s="10" t="n">
        <v>30</v>
      </c>
      <c r="D25" s="9" t="n">
        <v>12</v>
      </c>
      <c r="E25" s="9" t="n">
        <v>25358.5</v>
      </c>
      <c r="F25" s="9" t="n">
        <v>35246.77</v>
      </c>
      <c r="G25" s="10" t="n">
        <v>25</v>
      </c>
    </row>
    <row r="26">
      <c r="A26" s="8" t="inlineStr">
        <is>
          <t>2025-10</t>
        </is>
      </c>
      <c r="B26" s="9" t="n">
        <v>111507.8</v>
      </c>
      <c r="C26" s="10" t="n">
        <v>34</v>
      </c>
      <c r="D26" s="9" t="n">
        <v>12</v>
      </c>
      <c r="E26" s="9" t="n">
        <v>26634.43</v>
      </c>
      <c r="F26" s="9" t="n">
        <v>38529.26</v>
      </c>
      <c r="G26" s="10" t="n">
        <v>26</v>
      </c>
    </row>
    <row r="27">
      <c r="A27" s="8" t="inlineStr">
        <is>
          <t>2025-11</t>
        </is>
      </c>
      <c r="B27" s="9" t="n">
        <v>119619.74</v>
      </c>
      <c r="C27" s="10" t="n">
        <v>32</v>
      </c>
      <c r="D27" s="9" t="n">
        <v>12</v>
      </c>
      <c r="E27" s="9" t="n">
        <v>28366.97</v>
      </c>
      <c r="F27" s="9" t="n">
        <v>35422.39</v>
      </c>
      <c r="G27" s="10" t="n">
        <v>27</v>
      </c>
    </row>
    <row r="28">
      <c r="A28" s="8" t="inlineStr">
        <is>
          <t>2025-12</t>
        </is>
      </c>
      <c r="B28" s="9" t="n">
        <v>121595.59</v>
      </c>
      <c r="C28" s="10" t="n">
        <v>32</v>
      </c>
      <c r="D28" s="9" t="n">
        <v>13</v>
      </c>
      <c r="E28" s="9" t="n">
        <v>28627.08</v>
      </c>
      <c r="F28" s="9" t="n">
        <v>36284.24</v>
      </c>
      <c r="G28" s="10" t="n">
        <v>28</v>
      </c>
    </row>
    <row r="29">
      <c r="A29" s="8" t="inlineStr">
        <is>
          <t>2026-01</t>
        </is>
      </c>
      <c r="B29" s="9" t="n">
        <v>128511.06</v>
      </c>
      <c r="C29" s="10" t="n">
        <v>32</v>
      </c>
      <c r="D29" s="9" t="n">
        <v>13</v>
      </c>
      <c r="E29" s="9" t="n">
        <v>30034.87</v>
      </c>
      <c r="F29" s="9" t="n">
        <v>38510.27</v>
      </c>
      <c r="G29" s="10" t="n">
        <v>28</v>
      </c>
    </row>
    <row r="30">
      <c r="A30" s="8" t="inlineStr">
        <is>
          <t>2026-02</t>
        </is>
      </c>
      <c r="B30" s="9" t="n">
        <v>132333.4</v>
      </c>
      <c r="C30" s="10" t="n">
        <v>34</v>
      </c>
      <c r="D30" s="9" t="n">
        <v>13</v>
      </c>
      <c r="E30" s="9" t="n">
        <v>30701.35</v>
      </c>
      <c r="F30" s="9" t="n">
        <v>41845.53</v>
      </c>
      <c r="G30" s="10" t="n">
        <v>29</v>
      </c>
    </row>
    <row r="31">
      <c r="A31" s="8" t="inlineStr">
        <is>
          <t>2026-03</t>
        </is>
      </c>
      <c r="B31" s="9" t="n">
        <v>137832.75</v>
      </c>
      <c r="C31" s="10" t="n">
        <v>36</v>
      </c>
      <c r="D31" s="9" t="n">
        <v>13</v>
      </c>
      <c r="E31" s="9" t="n">
        <v>31740.91</v>
      </c>
      <c r="F31" s="9" t="n">
        <v>38352.4</v>
      </c>
      <c r="G31" s="10" t="n">
        <v>30</v>
      </c>
    </row>
    <row r="32">
      <c r="A32" s="8" t="inlineStr">
        <is>
          <t>2026-04</t>
        </is>
      </c>
      <c r="B32" s="9" t="n">
        <v>146310.66</v>
      </c>
      <c r="C32" s="10" t="n">
        <v>33</v>
      </c>
      <c r="D32" s="9" t="n">
        <v>14</v>
      </c>
      <c r="E32" s="9" t="n">
        <v>33442.44</v>
      </c>
      <c r="F32" s="9" t="n">
        <v>39970.24</v>
      </c>
      <c r="G32" s="10" t="n">
        <v>30</v>
      </c>
    </row>
    <row r="33">
      <c r="A33" s="8" t="inlineStr">
        <is>
          <t>2026-05</t>
        </is>
      </c>
      <c r="B33" s="9" t="n">
        <v>149126.16</v>
      </c>
      <c r="C33" s="10" t="n">
        <v>36</v>
      </c>
      <c r="D33" s="9" t="n">
        <v>14</v>
      </c>
      <c r="E33" s="9" t="n">
        <v>33830.33</v>
      </c>
      <c r="F33" s="9" t="n">
        <v>41170.85</v>
      </c>
      <c r="G33" s="10" t="n">
        <v>31</v>
      </c>
    </row>
    <row r="34">
      <c r="A34" s="8" t="inlineStr">
        <is>
          <t>2026-06</t>
        </is>
      </c>
      <c r="B34" s="9" t="n">
        <v>159653.71</v>
      </c>
      <c r="C34" s="10" t="n">
        <v>42</v>
      </c>
      <c r="D34" s="9" t="n">
        <v>14</v>
      </c>
      <c r="E34" s="9" t="n">
        <v>35944.89</v>
      </c>
      <c r="F34" s="9" t="n">
        <v>53037.37</v>
      </c>
      <c r="G34" s="10" t="n">
        <v>32</v>
      </c>
    </row>
    <row r="35">
      <c r="A35" s="8" t="inlineStr">
        <is>
          <t>2026-07</t>
        </is>
      </c>
      <c r="B35" s="9" t="n">
        <v>163523.79</v>
      </c>
      <c r="C35" s="10" t="n">
        <v>41</v>
      </c>
      <c r="D35" s="9" t="n">
        <v>15</v>
      </c>
      <c r="E35" s="9" t="n">
        <v>36535.89</v>
      </c>
      <c r="F35" s="9" t="n">
        <v>50209.84</v>
      </c>
      <c r="G35" s="10" t="n">
        <v>33</v>
      </c>
    </row>
    <row r="36">
      <c r="A36" s="8" t="inlineStr">
        <is>
          <t>2026-08</t>
        </is>
      </c>
      <c r="B36" s="9" t="n">
        <v>174444.45</v>
      </c>
      <c r="C36" s="10" t="n">
        <v>41</v>
      </c>
      <c r="D36" s="9" t="n">
        <v>15</v>
      </c>
      <c r="E36" s="9" t="n">
        <v>38676.83</v>
      </c>
      <c r="F36" s="9" t="n">
        <v>47026.13</v>
      </c>
      <c r="G36" s="10" t="n">
        <v>33</v>
      </c>
    </row>
    <row r="37">
      <c r="A37" s="8" t="inlineStr">
        <is>
          <t>2026-09</t>
        </is>
      </c>
      <c r="B37" s="9" t="n">
        <v>178857.07</v>
      </c>
      <c r="C37" s="10" t="n">
        <v>41</v>
      </c>
      <c r="D37" s="9" t="n">
        <v>15</v>
      </c>
      <c r="E37" s="9" t="n">
        <v>39348.56</v>
      </c>
      <c r="F37" s="9" t="n">
        <v>48686.47</v>
      </c>
      <c r="G37" s="10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2" customWidth="1" min="6" max="6"/>
    <col width="10" customWidth="1" min="7" max="7"/>
    <col width="12" customWidth="1" min="8" max="8"/>
    <col width="12" customWidth="1" min="9" max="9"/>
    <col width="9" customWidth="1" min="10" max="10"/>
    <col width="13" customWidth="1" min="11" max="11"/>
    <col width="10" customWidth="1" min="12" max="12"/>
    <col width="11" customWidth="1" min="13" max="13"/>
    <col width="12" customWidth="1" min="14" max="14"/>
    <col width="10" customWidth="1" min="15" max="15"/>
    <col width="13" customWidth="1" min="16" max="16"/>
    <col width="12" customWidth="1" min="17" max="17"/>
    <col width="9" customWidth="1" min="18" max="18"/>
    <col width="9" customWidth="1" min="19" max="19"/>
    <col width="10" customWidth="1" min="20" max="20"/>
    <col width="12" customWidth="1" min="21" max="21"/>
    <col width="11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  <col width="9" customWidth="1" min="29" max="29"/>
  </cols>
  <sheetData>
    <row r="1" ht="30" customHeight="1">
      <c r="A1" s="11" t="inlineStr">
        <is>
          <t>Month</t>
        </is>
      </c>
      <c r="B1" s="11" t="inlineStr">
        <is>
          <t>MRR</t>
        </is>
      </c>
      <c r="C1" s="11" t="inlineStr">
        <is>
          <t>New customers</t>
        </is>
      </c>
      <c r="D1" s="11" t="inlineStr">
        <is>
          <t>Churned customers</t>
        </is>
      </c>
      <c r="E1" s="11" t="inlineStr">
        <is>
          <t>COGS</t>
        </is>
      </c>
      <c r="F1" s="11" t="inlineStr">
        <is>
          <t>S&amp;M spend</t>
        </is>
      </c>
      <c r="G1" s="11" t="inlineStr">
        <is>
          <t>Headcount</t>
        </is>
      </c>
      <c r="H1" s="11" t="inlineStr">
        <is>
          <t>Beginning customers</t>
        </is>
      </c>
      <c r="I1" s="11" t="inlineStr">
        <is>
          <t>Ending customers</t>
        </is>
      </c>
      <c r="J1" s="11" t="inlineStr">
        <is>
          <t>Net adds</t>
        </is>
      </c>
      <c r="K1" s="11" t="inlineStr">
        <is>
          <t>ARR</t>
        </is>
      </c>
      <c r="L1" s="11" t="inlineStr">
        <is>
          <t>ARPA</t>
        </is>
      </c>
      <c r="M1" s="11" t="inlineStr">
        <is>
          <t>Monthly logo churn</t>
        </is>
      </c>
      <c r="N1" s="11" t="inlineStr">
        <is>
          <t>Gross profit</t>
        </is>
      </c>
      <c r="O1" s="11" t="inlineStr">
        <is>
          <t>Monthly GM%</t>
        </is>
      </c>
      <c r="P1" s="11" t="inlineStr">
        <is>
          <t>TTM revenue</t>
        </is>
      </c>
      <c r="Q1" s="11" t="inlineStr">
        <is>
          <t>TTM COGS</t>
        </is>
      </c>
      <c r="R1" s="11" t="inlineStr">
        <is>
          <t>TTM GM%</t>
        </is>
      </c>
      <c r="S1" s="11" t="inlineStr">
        <is>
          <t>TTM new</t>
        </is>
      </c>
      <c r="T1" s="11" t="inlineStr">
        <is>
          <t>TTM churned</t>
        </is>
      </c>
      <c r="U1" s="11" t="inlineStr">
        <is>
          <t>TTM S&amp;M</t>
        </is>
      </c>
      <c r="V1" s="11" t="inlineStr">
        <is>
          <t>CAC (gross adds)</t>
        </is>
      </c>
      <c r="W1" s="11" t="inlineStr">
        <is>
          <t>TTM net adds</t>
        </is>
      </c>
      <c r="X1" s="11" t="inlineStr">
        <is>
          <t>CAC (net adds)</t>
        </is>
      </c>
      <c r="Y1" s="11" t="inlineStr">
        <is>
          <t>TTM churn — sum/sum</t>
        </is>
      </c>
      <c r="Z1" s="11" t="inlineStr">
        <is>
          <t>TTM churn — avg monthly</t>
        </is>
      </c>
      <c r="AA1" s="11" t="inlineStr">
        <is>
          <t>LTV</t>
        </is>
      </c>
      <c r="AB1" s="11" t="inlineStr">
        <is>
          <t>CAC payback (mo)</t>
        </is>
      </c>
      <c r="AC1" s="11" t="inlineStr">
        <is>
          <t>LTV / CAC</t>
        </is>
      </c>
    </row>
    <row r="2">
      <c r="A2" s="12" t="inlineStr">
        <is>
          <t>2023-10</t>
        </is>
      </c>
      <c r="B2" s="13">
        <f>Raw_Data!B2</f>
        <v/>
      </c>
      <c r="C2" s="14">
        <f>Raw_Data!C2</f>
        <v/>
      </c>
      <c r="D2" s="14">
        <f>Raw_Data!D2</f>
        <v/>
      </c>
      <c r="E2" s="13">
        <f>Raw_Data!E2</f>
        <v/>
      </c>
      <c r="F2" s="13">
        <f>Raw_Data!F2</f>
        <v/>
      </c>
      <c r="G2" s="14">
        <f>Raw_Data!G2</f>
        <v/>
      </c>
      <c r="H2" s="15" t="n">
        <v>120</v>
      </c>
      <c r="I2" s="14">
        <f>H2+C2-D2</f>
        <v/>
      </c>
      <c r="J2" s="14">
        <f>C2-D2</f>
        <v/>
      </c>
      <c r="K2" s="16">
        <f>B2*12</f>
        <v/>
      </c>
      <c r="L2" s="13">
        <f>B2/I2</f>
        <v/>
      </c>
      <c r="M2" s="17">
        <f>D2/H2</f>
        <v/>
      </c>
      <c r="N2" s="13">
        <f>B2-E2</f>
        <v/>
      </c>
      <c r="O2" s="17">
        <f>(B2-E2)/B2</f>
        <v/>
      </c>
      <c r="P2" s="16" t="n"/>
      <c r="Q2" s="16" t="n"/>
      <c r="R2" s="17" t="n"/>
      <c r="S2" s="14" t="n"/>
      <c r="T2" s="14" t="n"/>
      <c r="U2" s="16" t="n"/>
      <c r="V2" s="13" t="n"/>
      <c r="W2" s="14" t="n"/>
      <c r="X2" s="13" t="n"/>
      <c r="Y2" s="17" t="n"/>
      <c r="Z2" s="17" t="n"/>
      <c r="AA2" s="13" t="n"/>
      <c r="AB2" s="18" t="n"/>
      <c r="AC2" s="19" t="n"/>
    </row>
    <row r="3">
      <c r="A3" s="20" t="inlineStr">
        <is>
          <t>2023-11</t>
        </is>
      </c>
      <c r="B3" s="21">
        <f>Raw_Data!B3</f>
        <v/>
      </c>
      <c r="C3" s="22">
        <f>Raw_Data!C3</f>
        <v/>
      </c>
      <c r="D3" s="22">
        <f>Raw_Data!D3</f>
        <v/>
      </c>
      <c r="E3" s="21">
        <f>Raw_Data!E3</f>
        <v/>
      </c>
      <c r="F3" s="21">
        <f>Raw_Data!F3</f>
        <v/>
      </c>
      <c r="G3" s="22">
        <f>Raw_Data!G3</f>
        <v/>
      </c>
      <c r="H3" s="22">
        <f>I2</f>
        <v/>
      </c>
      <c r="I3" s="22">
        <f>H3+C3-D3</f>
        <v/>
      </c>
      <c r="J3" s="22">
        <f>C3-D3</f>
        <v/>
      </c>
      <c r="K3" s="23">
        <f>B3*12</f>
        <v/>
      </c>
      <c r="L3" s="21">
        <f>B3/I3</f>
        <v/>
      </c>
      <c r="M3" s="24">
        <f>D3/H3</f>
        <v/>
      </c>
      <c r="N3" s="21">
        <f>B3-E3</f>
        <v/>
      </c>
      <c r="O3" s="24">
        <f>(B3-E3)/B3</f>
        <v/>
      </c>
      <c r="P3" s="23" t="n"/>
      <c r="Q3" s="23" t="n"/>
      <c r="R3" s="24" t="n"/>
      <c r="S3" s="22" t="n"/>
      <c r="T3" s="22" t="n"/>
      <c r="U3" s="23" t="n"/>
      <c r="V3" s="21" t="n"/>
      <c r="W3" s="22" t="n"/>
      <c r="X3" s="21" t="n"/>
      <c r="Y3" s="24" t="n"/>
      <c r="Z3" s="24" t="n"/>
      <c r="AA3" s="21" t="n"/>
      <c r="AB3" s="25" t="n"/>
      <c r="AC3" s="26" t="n"/>
    </row>
    <row r="4">
      <c r="A4" s="12" t="inlineStr">
        <is>
          <t>2023-12</t>
        </is>
      </c>
      <c r="B4" s="13">
        <f>Raw_Data!B4</f>
        <v/>
      </c>
      <c r="C4" s="14">
        <f>Raw_Data!C4</f>
        <v/>
      </c>
      <c r="D4" s="14">
        <f>Raw_Data!D4</f>
        <v/>
      </c>
      <c r="E4" s="13">
        <f>Raw_Data!E4</f>
        <v/>
      </c>
      <c r="F4" s="13">
        <f>Raw_Data!F4</f>
        <v/>
      </c>
      <c r="G4" s="14">
        <f>Raw_Data!G4</f>
        <v/>
      </c>
      <c r="H4" s="14">
        <f>I3</f>
        <v/>
      </c>
      <c r="I4" s="14">
        <f>H4+C4-D4</f>
        <v/>
      </c>
      <c r="J4" s="14">
        <f>C4-D4</f>
        <v/>
      </c>
      <c r="K4" s="16">
        <f>B4*12</f>
        <v/>
      </c>
      <c r="L4" s="13">
        <f>B4/I4</f>
        <v/>
      </c>
      <c r="M4" s="17">
        <f>D4/H4</f>
        <v/>
      </c>
      <c r="N4" s="13">
        <f>B4-E4</f>
        <v/>
      </c>
      <c r="O4" s="17">
        <f>(B4-E4)/B4</f>
        <v/>
      </c>
      <c r="P4" s="16" t="n"/>
      <c r="Q4" s="16" t="n"/>
      <c r="R4" s="17" t="n"/>
      <c r="S4" s="14" t="n"/>
      <c r="T4" s="14" t="n"/>
      <c r="U4" s="16" t="n"/>
      <c r="V4" s="13" t="n"/>
      <c r="W4" s="14" t="n"/>
      <c r="X4" s="13" t="n"/>
      <c r="Y4" s="17" t="n"/>
      <c r="Z4" s="17" t="n"/>
      <c r="AA4" s="13" t="n"/>
      <c r="AB4" s="18" t="n"/>
      <c r="AC4" s="19" t="n"/>
    </row>
    <row r="5">
      <c r="A5" s="20" t="inlineStr">
        <is>
          <t>2024-01</t>
        </is>
      </c>
      <c r="B5" s="21">
        <f>Raw_Data!B5</f>
        <v/>
      </c>
      <c r="C5" s="22">
        <f>Raw_Data!C5</f>
        <v/>
      </c>
      <c r="D5" s="22">
        <f>Raw_Data!D5</f>
        <v/>
      </c>
      <c r="E5" s="21">
        <f>Raw_Data!E5</f>
        <v/>
      </c>
      <c r="F5" s="21">
        <f>Raw_Data!F5</f>
        <v/>
      </c>
      <c r="G5" s="22">
        <f>Raw_Data!G5</f>
        <v/>
      </c>
      <c r="H5" s="22">
        <f>I4</f>
        <v/>
      </c>
      <c r="I5" s="22">
        <f>H5+C5-D5</f>
        <v/>
      </c>
      <c r="J5" s="22">
        <f>C5-D5</f>
        <v/>
      </c>
      <c r="K5" s="23">
        <f>B5*12</f>
        <v/>
      </c>
      <c r="L5" s="21">
        <f>B5/I5</f>
        <v/>
      </c>
      <c r="M5" s="24">
        <f>D5/H5</f>
        <v/>
      </c>
      <c r="N5" s="21">
        <f>B5-E5</f>
        <v/>
      </c>
      <c r="O5" s="24">
        <f>(B5-E5)/B5</f>
        <v/>
      </c>
      <c r="P5" s="23" t="n"/>
      <c r="Q5" s="23" t="n"/>
      <c r="R5" s="24" t="n"/>
      <c r="S5" s="22" t="n"/>
      <c r="T5" s="22" t="n"/>
      <c r="U5" s="23" t="n"/>
      <c r="V5" s="21" t="n"/>
      <c r="W5" s="22" t="n"/>
      <c r="X5" s="21" t="n"/>
      <c r="Y5" s="24" t="n"/>
      <c r="Z5" s="24" t="n"/>
      <c r="AA5" s="21" t="n"/>
      <c r="AB5" s="25" t="n"/>
      <c r="AC5" s="26" t="n"/>
    </row>
    <row r="6">
      <c r="A6" s="12" t="inlineStr">
        <is>
          <t>2024-02</t>
        </is>
      </c>
      <c r="B6" s="13">
        <f>Raw_Data!B6</f>
        <v/>
      </c>
      <c r="C6" s="14">
        <f>Raw_Data!C6</f>
        <v/>
      </c>
      <c r="D6" s="14">
        <f>Raw_Data!D6</f>
        <v/>
      </c>
      <c r="E6" s="13">
        <f>Raw_Data!E6</f>
        <v/>
      </c>
      <c r="F6" s="13">
        <f>Raw_Data!F6</f>
        <v/>
      </c>
      <c r="G6" s="14">
        <f>Raw_Data!G6</f>
        <v/>
      </c>
      <c r="H6" s="14">
        <f>I5</f>
        <v/>
      </c>
      <c r="I6" s="14">
        <f>H6+C6-D6</f>
        <v/>
      </c>
      <c r="J6" s="14">
        <f>C6-D6</f>
        <v/>
      </c>
      <c r="K6" s="16">
        <f>B6*12</f>
        <v/>
      </c>
      <c r="L6" s="13">
        <f>B6/I6</f>
        <v/>
      </c>
      <c r="M6" s="17">
        <f>D6/H6</f>
        <v/>
      </c>
      <c r="N6" s="13">
        <f>B6-E6</f>
        <v/>
      </c>
      <c r="O6" s="17">
        <f>(B6-E6)/B6</f>
        <v/>
      </c>
      <c r="P6" s="16" t="n"/>
      <c r="Q6" s="16" t="n"/>
      <c r="R6" s="17" t="n"/>
      <c r="S6" s="14" t="n"/>
      <c r="T6" s="14" t="n"/>
      <c r="U6" s="16" t="n"/>
      <c r="V6" s="13" t="n"/>
      <c r="W6" s="14" t="n"/>
      <c r="X6" s="13" t="n"/>
      <c r="Y6" s="17" t="n"/>
      <c r="Z6" s="17" t="n"/>
      <c r="AA6" s="13" t="n"/>
      <c r="AB6" s="18" t="n"/>
      <c r="AC6" s="19" t="n"/>
    </row>
    <row r="7">
      <c r="A7" s="20" t="inlineStr">
        <is>
          <t>2024-03</t>
        </is>
      </c>
      <c r="B7" s="21">
        <f>Raw_Data!B7</f>
        <v/>
      </c>
      <c r="C7" s="22">
        <f>Raw_Data!C7</f>
        <v/>
      </c>
      <c r="D7" s="22">
        <f>Raw_Data!D7</f>
        <v/>
      </c>
      <c r="E7" s="21">
        <f>Raw_Data!E7</f>
        <v/>
      </c>
      <c r="F7" s="21">
        <f>Raw_Data!F7</f>
        <v/>
      </c>
      <c r="G7" s="22">
        <f>Raw_Data!G7</f>
        <v/>
      </c>
      <c r="H7" s="22">
        <f>I6</f>
        <v/>
      </c>
      <c r="I7" s="22">
        <f>H7+C7-D7</f>
        <v/>
      </c>
      <c r="J7" s="22">
        <f>C7-D7</f>
        <v/>
      </c>
      <c r="K7" s="23">
        <f>B7*12</f>
        <v/>
      </c>
      <c r="L7" s="21">
        <f>B7/I7</f>
        <v/>
      </c>
      <c r="M7" s="24">
        <f>D7/H7</f>
        <v/>
      </c>
      <c r="N7" s="21">
        <f>B7-E7</f>
        <v/>
      </c>
      <c r="O7" s="24">
        <f>(B7-E7)/B7</f>
        <v/>
      </c>
      <c r="P7" s="23" t="n"/>
      <c r="Q7" s="23" t="n"/>
      <c r="R7" s="24" t="n"/>
      <c r="S7" s="22" t="n"/>
      <c r="T7" s="22" t="n"/>
      <c r="U7" s="23" t="n"/>
      <c r="V7" s="21" t="n"/>
      <c r="W7" s="22" t="n"/>
      <c r="X7" s="21" t="n"/>
      <c r="Y7" s="24" t="n"/>
      <c r="Z7" s="24" t="n"/>
      <c r="AA7" s="21" t="n"/>
      <c r="AB7" s="25" t="n"/>
      <c r="AC7" s="26" t="n"/>
    </row>
    <row r="8">
      <c r="A8" s="12" t="inlineStr">
        <is>
          <t>2024-04</t>
        </is>
      </c>
      <c r="B8" s="13">
        <f>Raw_Data!B8</f>
        <v/>
      </c>
      <c r="C8" s="14">
        <f>Raw_Data!C8</f>
        <v/>
      </c>
      <c r="D8" s="14">
        <f>Raw_Data!D8</f>
        <v/>
      </c>
      <c r="E8" s="13">
        <f>Raw_Data!E8</f>
        <v/>
      </c>
      <c r="F8" s="13">
        <f>Raw_Data!F8</f>
        <v/>
      </c>
      <c r="G8" s="14">
        <f>Raw_Data!G8</f>
        <v/>
      </c>
      <c r="H8" s="14">
        <f>I7</f>
        <v/>
      </c>
      <c r="I8" s="14">
        <f>H8+C8-D8</f>
        <v/>
      </c>
      <c r="J8" s="14">
        <f>C8-D8</f>
        <v/>
      </c>
      <c r="K8" s="16">
        <f>B8*12</f>
        <v/>
      </c>
      <c r="L8" s="13">
        <f>B8/I8</f>
        <v/>
      </c>
      <c r="M8" s="17">
        <f>D8/H8</f>
        <v/>
      </c>
      <c r="N8" s="13">
        <f>B8-E8</f>
        <v/>
      </c>
      <c r="O8" s="17">
        <f>(B8-E8)/B8</f>
        <v/>
      </c>
      <c r="P8" s="16" t="n"/>
      <c r="Q8" s="16" t="n"/>
      <c r="R8" s="17" t="n"/>
      <c r="S8" s="14" t="n"/>
      <c r="T8" s="14" t="n"/>
      <c r="U8" s="16" t="n"/>
      <c r="V8" s="13" t="n"/>
      <c r="W8" s="14" t="n"/>
      <c r="X8" s="13" t="n"/>
      <c r="Y8" s="17" t="n"/>
      <c r="Z8" s="17" t="n"/>
      <c r="AA8" s="13" t="n"/>
      <c r="AB8" s="18" t="n"/>
      <c r="AC8" s="19" t="n"/>
    </row>
    <row r="9">
      <c r="A9" s="20" t="inlineStr">
        <is>
          <t>2024-05</t>
        </is>
      </c>
      <c r="B9" s="21">
        <f>Raw_Data!B9</f>
        <v/>
      </c>
      <c r="C9" s="22">
        <f>Raw_Data!C9</f>
        <v/>
      </c>
      <c r="D9" s="22">
        <f>Raw_Data!D9</f>
        <v/>
      </c>
      <c r="E9" s="21">
        <f>Raw_Data!E9</f>
        <v/>
      </c>
      <c r="F9" s="21">
        <f>Raw_Data!F9</f>
        <v/>
      </c>
      <c r="G9" s="22">
        <f>Raw_Data!G9</f>
        <v/>
      </c>
      <c r="H9" s="22">
        <f>I8</f>
        <v/>
      </c>
      <c r="I9" s="22">
        <f>H9+C9-D9</f>
        <v/>
      </c>
      <c r="J9" s="22">
        <f>C9-D9</f>
        <v/>
      </c>
      <c r="K9" s="23">
        <f>B9*12</f>
        <v/>
      </c>
      <c r="L9" s="21">
        <f>B9/I9</f>
        <v/>
      </c>
      <c r="M9" s="24">
        <f>D9/H9</f>
        <v/>
      </c>
      <c r="N9" s="21">
        <f>B9-E9</f>
        <v/>
      </c>
      <c r="O9" s="24">
        <f>(B9-E9)/B9</f>
        <v/>
      </c>
      <c r="P9" s="23" t="n"/>
      <c r="Q9" s="23" t="n"/>
      <c r="R9" s="24" t="n"/>
      <c r="S9" s="22" t="n"/>
      <c r="T9" s="22" t="n"/>
      <c r="U9" s="23" t="n"/>
      <c r="V9" s="21" t="n"/>
      <c r="W9" s="22" t="n"/>
      <c r="X9" s="21" t="n"/>
      <c r="Y9" s="24" t="n"/>
      <c r="Z9" s="24" t="n"/>
      <c r="AA9" s="21" t="n"/>
      <c r="AB9" s="25" t="n"/>
      <c r="AC9" s="26" t="n"/>
    </row>
    <row r="10">
      <c r="A10" s="12" t="inlineStr">
        <is>
          <t>2024-06</t>
        </is>
      </c>
      <c r="B10" s="13">
        <f>Raw_Data!B10</f>
        <v/>
      </c>
      <c r="C10" s="14">
        <f>Raw_Data!C10</f>
        <v/>
      </c>
      <c r="D10" s="14">
        <f>Raw_Data!D10</f>
        <v/>
      </c>
      <c r="E10" s="13">
        <f>Raw_Data!E10</f>
        <v/>
      </c>
      <c r="F10" s="13">
        <f>Raw_Data!F10</f>
        <v/>
      </c>
      <c r="G10" s="14">
        <f>Raw_Data!G10</f>
        <v/>
      </c>
      <c r="H10" s="14">
        <f>I9</f>
        <v/>
      </c>
      <c r="I10" s="14">
        <f>H10+C10-D10</f>
        <v/>
      </c>
      <c r="J10" s="14">
        <f>C10-D10</f>
        <v/>
      </c>
      <c r="K10" s="16">
        <f>B10*12</f>
        <v/>
      </c>
      <c r="L10" s="13">
        <f>B10/I10</f>
        <v/>
      </c>
      <c r="M10" s="17">
        <f>D10/H10</f>
        <v/>
      </c>
      <c r="N10" s="13">
        <f>B10-E10</f>
        <v/>
      </c>
      <c r="O10" s="17">
        <f>(B10-E10)/B10</f>
        <v/>
      </c>
      <c r="P10" s="16" t="n"/>
      <c r="Q10" s="16" t="n"/>
      <c r="R10" s="17" t="n"/>
      <c r="S10" s="14" t="n"/>
      <c r="T10" s="14" t="n"/>
      <c r="U10" s="16" t="n"/>
      <c r="V10" s="13" t="n"/>
      <c r="W10" s="14" t="n"/>
      <c r="X10" s="13" t="n"/>
      <c r="Y10" s="17" t="n"/>
      <c r="Z10" s="17" t="n"/>
      <c r="AA10" s="13" t="n"/>
      <c r="AB10" s="18" t="n"/>
      <c r="AC10" s="19" t="n"/>
    </row>
    <row r="11">
      <c r="A11" s="20" t="inlineStr">
        <is>
          <t>2024-07</t>
        </is>
      </c>
      <c r="B11" s="21">
        <f>Raw_Data!B11</f>
        <v/>
      </c>
      <c r="C11" s="22">
        <f>Raw_Data!C11</f>
        <v/>
      </c>
      <c r="D11" s="22">
        <f>Raw_Data!D11</f>
        <v/>
      </c>
      <c r="E11" s="21">
        <f>Raw_Data!E11</f>
        <v/>
      </c>
      <c r="F11" s="21">
        <f>Raw_Data!F11</f>
        <v/>
      </c>
      <c r="G11" s="22">
        <f>Raw_Data!G11</f>
        <v/>
      </c>
      <c r="H11" s="22">
        <f>I10</f>
        <v/>
      </c>
      <c r="I11" s="22">
        <f>H11+C11-D11</f>
        <v/>
      </c>
      <c r="J11" s="22">
        <f>C11-D11</f>
        <v/>
      </c>
      <c r="K11" s="23">
        <f>B11*12</f>
        <v/>
      </c>
      <c r="L11" s="21">
        <f>B11/I11</f>
        <v/>
      </c>
      <c r="M11" s="24">
        <f>D11/H11</f>
        <v/>
      </c>
      <c r="N11" s="21">
        <f>B11-E11</f>
        <v/>
      </c>
      <c r="O11" s="24">
        <f>(B11-E11)/B11</f>
        <v/>
      </c>
      <c r="P11" s="23" t="n"/>
      <c r="Q11" s="23" t="n"/>
      <c r="R11" s="24" t="n"/>
      <c r="S11" s="22" t="n"/>
      <c r="T11" s="22" t="n"/>
      <c r="U11" s="23" t="n"/>
      <c r="V11" s="21" t="n"/>
      <c r="W11" s="22" t="n"/>
      <c r="X11" s="21" t="n"/>
      <c r="Y11" s="24" t="n"/>
      <c r="Z11" s="24" t="n"/>
      <c r="AA11" s="21" t="n"/>
      <c r="AB11" s="25" t="n"/>
      <c r="AC11" s="26" t="n"/>
    </row>
    <row r="12">
      <c r="A12" s="12" t="inlineStr">
        <is>
          <t>2024-08</t>
        </is>
      </c>
      <c r="B12" s="13">
        <f>Raw_Data!B12</f>
        <v/>
      </c>
      <c r="C12" s="14">
        <f>Raw_Data!C12</f>
        <v/>
      </c>
      <c r="D12" s="14">
        <f>Raw_Data!D12</f>
        <v/>
      </c>
      <c r="E12" s="13">
        <f>Raw_Data!E12</f>
        <v/>
      </c>
      <c r="F12" s="13">
        <f>Raw_Data!F12</f>
        <v/>
      </c>
      <c r="G12" s="14">
        <f>Raw_Data!G12</f>
        <v/>
      </c>
      <c r="H12" s="14">
        <f>I11</f>
        <v/>
      </c>
      <c r="I12" s="14">
        <f>H12+C12-D12</f>
        <v/>
      </c>
      <c r="J12" s="14">
        <f>C12-D12</f>
        <v/>
      </c>
      <c r="K12" s="16">
        <f>B12*12</f>
        <v/>
      </c>
      <c r="L12" s="13">
        <f>B12/I12</f>
        <v/>
      </c>
      <c r="M12" s="17">
        <f>D12/H12</f>
        <v/>
      </c>
      <c r="N12" s="13">
        <f>B12-E12</f>
        <v/>
      </c>
      <c r="O12" s="17">
        <f>(B12-E12)/B12</f>
        <v/>
      </c>
      <c r="P12" s="16" t="n"/>
      <c r="Q12" s="16" t="n"/>
      <c r="R12" s="17" t="n"/>
      <c r="S12" s="14" t="n"/>
      <c r="T12" s="14" t="n"/>
      <c r="U12" s="16" t="n"/>
      <c r="V12" s="13" t="n"/>
      <c r="W12" s="14" t="n"/>
      <c r="X12" s="13" t="n"/>
      <c r="Y12" s="17" t="n"/>
      <c r="Z12" s="17" t="n"/>
      <c r="AA12" s="13" t="n"/>
      <c r="AB12" s="18" t="n"/>
      <c r="AC12" s="19" t="n"/>
    </row>
    <row r="13">
      <c r="A13" s="20" t="inlineStr">
        <is>
          <t>2024-09</t>
        </is>
      </c>
      <c r="B13" s="21">
        <f>Raw_Data!B13</f>
        <v/>
      </c>
      <c r="C13" s="22">
        <f>Raw_Data!C13</f>
        <v/>
      </c>
      <c r="D13" s="22">
        <f>Raw_Data!D13</f>
        <v/>
      </c>
      <c r="E13" s="21">
        <f>Raw_Data!E13</f>
        <v/>
      </c>
      <c r="F13" s="21">
        <f>Raw_Data!F13</f>
        <v/>
      </c>
      <c r="G13" s="22">
        <f>Raw_Data!G13</f>
        <v/>
      </c>
      <c r="H13" s="22">
        <f>I12</f>
        <v/>
      </c>
      <c r="I13" s="22">
        <f>H13+C13-D13</f>
        <v/>
      </c>
      <c r="J13" s="22">
        <f>C13-D13</f>
        <v/>
      </c>
      <c r="K13" s="23">
        <f>B13*12</f>
        <v/>
      </c>
      <c r="L13" s="21">
        <f>B13/I13</f>
        <v/>
      </c>
      <c r="M13" s="24">
        <f>D13/H13</f>
        <v/>
      </c>
      <c r="N13" s="21">
        <f>B13-E13</f>
        <v/>
      </c>
      <c r="O13" s="24">
        <f>(B13-E13)/B13</f>
        <v/>
      </c>
      <c r="P13" s="23">
        <f>SUM(B2:B13)</f>
        <v/>
      </c>
      <c r="Q13" s="23">
        <f>SUM(E2:E13)</f>
        <v/>
      </c>
      <c r="R13" s="24">
        <f>1-Q13/P13</f>
        <v/>
      </c>
      <c r="S13" s="22">
        <f>SUM(C2:C13)</f>
        <v/>
      </c>
      <c r="T13" s="22">
        <f>SUM(D2:D13)</f>
        <v/>
      </c>
      <c r="U13" s="23">
        <f>SUM(F2:F13)</f>
        <v/>
      </c>
      <c r="V13" s="21">
        <f>U13/S13</f>
        <v/>
      </c>
      <c r="W13" s="22">
        <f>S13-T13</f>
        <v/>
      </c>
      <c r="X13" s="21">
        <f>U13/W13</f>
        <v/>
      </c>
      <c r="Y13" s="24">
        <f>T13/SUM(H2:H13)</f>
        <v/>
      </c>
      <c r="Z13" s="24">
        <f>AVERAGE(M2:M13)</f>
        <v/>
      </c>
      <c r="AA13" s="21">
        <f>L13*R13/Z13</f>
        <v/>
      </c>
      <c r="AB13" s="25">
        <f>V13/(L13*R13)</f>
        <v/>
      </c>
      <c r="AC13" s="26">
        <f>AA13/V13</f>
        <v/>
      </c>
    </row>
    <row r="14">
      <c r="A14" s="12" t="inlineStr">
        <is>
          <t>2024-10</t>
        </is>
      </c>
      <c r="B14" s="13">
        <f>Raw_Data!B14</f>
        <v/>
      </c>
      <c r="C14" s="14">
        <f>Raw_Data!C14</f>
        <v/>
      </c>
      <c r="D14" s="14">
        <f>Raw_Data!D14</f>
        <v/>
      </c>
      <c r="E14" s="13">
        <f>Raw_Data!E14</f>
        <v/>
      </c>
      <c r="F14" s="13">
        <f>Raw_Data!F14</f>
        <v/>
      </c>
      <c r="G14" s="14">
        <f>Raw_Data!G14</f>
        <v/>
      </c>
      <c r="H14" s="14">
        <f>I13</f>
        <v/>
      </c>
      <c r="I14" s="14">
        <f>H14+C14-D14</f>
        <v/>
      </c>
      <c r="J14" s="14">
        <f>C14-D14</f>
        <v/>
      </c>
      <c r="K14" s="16">
        <f>B14*12</f>
        <v/>
      </c>
      <c r="L14" s="13">
        <f>B14/I14</f>
        <v/>
      </c>
      <c r="M14" s="17">
        <f>D14/H14</f>
        <v/>
      </c>
      <c r="N14" s="13">
        <f>B14-E14</f>
        <v/>
      </c>
      <c r="O14" s="17">
        <f>(B14-E14)/B14</f>
        <v/>
      </c>
      <c r="P14" s="16">
        <f>SUM(B3:B14)</f>
        <v/>
      </c>
      <c r="Q14" s="16">
        <f>SUM(E3:E14)</f>
        <v/>
      </c>
      <c r="R14" s="17">
        <f>1-Q14/P14</f>
        <v/>
      </c>
      <c r="S14" s="14">
        <f>SUM(C3:C14)</f>
        <v/>
      </c>
      <c r="T14" s="14">
        <f>SUM(D3:D14)</f>
        <v/>
      </c>
      <c r="U14" s="16">
        <f>SUM(F3:F14)</f>
        <v/>
      </c>
      <c r="V14" s="13">
        <f>U14/S14</f>
        <v/>
      </c>
      <c r="W14" s="14">
        <f>S14-T14</f>
        <v/>
      </c>
      <c r="X14" s="13">
        <f>U14/W14</f>
        <v/>
      </c>
      <c r="Y14" s="17">
        <f>T14/SUM(H3:H14)</f>
        <v/>
      </c>
      <c r="Z14" s="17">
        <f>AVERAGE(M3:M14)</f>
        <v/>
      </c>
      <c r="AA14" s="13">
        <f>L14*R14/Z14</f>
        <v/>
      </c>
      <c r="AB14" s="18">
        <f>V14/(L14*R14)</f>
        <v/>
      </c>
      <c r="AC14" s="19">
        <f>AA14/V14</f>
        <v/>
      </c>
    </row>
    <row r="15">
      <c r="A15" s="20" t="inlineStr">
        <is>
          <t>2024-11</t>
        </is>
      </c>
      <c r="B15" s="21">
        <f>Raw_Data!B15</f>
        <v/>
      </c>
      <c r="C15" s="22">
        <f>Raw_Data!C15</f>
        <v/>
      </c>
      <c r="D15" s="22">
        <f>Raw_Data!D15</f>
        <v/>
      </c>
      <c r="E15" s="21">
        <f>Raw_Data!E15</f>
        <v/>
      </c>
      <c r="F15" s="21">
        <f>Raw_Data!F15</f>
        <v/>
      </c>
      <c r="G15" s="22">
        <f>Raw_Data!G15</f>
        <v/>
      </c>
      <c r="H15" s="22">
        <f>I14</f>
        <v/>
      </c>
      <c r="I15" s="22">
        <f>H15+C15-D15</f>
        <v/>
      </c>
      <c r="J15" s="22">
        <f>C15-D15</f>
        <v/>
      </c>
      <c r="K15" s="23">
        <f>B15*12</f>
        <v/>
      </c>
      <c r="L15" s="21">
        <f>B15/I15</f>
        <v/>
      </c>
      <c r="M15" s="24">
        <f>D15/H15</f>
        <v/>
      </c>
      <c r="N15" s="21">
        <f>B15-E15</f>
        <v/>
      </c>
      <c r="O15" s="24">
        <f>(B15-E15)/B15</f>
        <v/>
      </c>
      <c r="P15" s="23">
        <f>SUM(B4:B15)</f>
        <v/>
      </c>
      <c r="Q15" s="23">
        <f>SUM(E4:E15)</f>
        <v/>
      </c>
      <c r="R15" s="24">
        <f>1-Q15/P15</f>
        <v/>
      </c>
      <c r="S15" s="22">
        <f>SUM(C4:C15)</f>
        <v/>
      </c>
      <c r="T15" s="22">
        <f>SUM(D4:D15)</f>
        <v/>
      </c>
      <c r="U15" s="23">
        <f>SUM(F4:F15)</f>
        <v/>
      </c>
      <c r="V15" s="21">
        <f>U15/S15</f>
        <v/>
      </c>
      <c r="W15" s="22">
        <f>S15-T15</f>
        <v/>
      </c>
      <c r="X15" s="21">
        <f>U15/W15</f>
        <v/>
      </c>
      <c r="Y15" s="24">
        <f>T15/SUM(H4:H15)</f>
        <v/>
      </c>
      <c r="Z15" s="24">
        <f>AVERAGE(M4:M15)</f>
        <v/>
      </c>
      <c r="AA15" s="21">
        <f>L15*R15/Z15</f>
        <v/>
      </c>
      <c r="AB15" s="25">
        <f>V15/(L15*R15)</f>
        <v/>
      </c>
      <c r="AC15" s="26">
        <f>AA15/V15</f>
        <v/>
      </c>
    </row>
    <row r="16">
      <c r="A16" s="12" t="inlineStr">
        <is>
          <t>2024-12</t>
        </is>
      </c>
      <c r="B16" s="13">
        <f>Raw_Data!B16</f>
        <v/>
      </c>
      <c r="C16" s="14">
        <f>Raw_Data!C16</f>
        <v/>
      </c>
      <c r="D16" s="14">
        <f>Raw_Data!D16</f>
        <v/>
      </c>
      <c r="E16" s="13">
        <f>Raw_Data!E16</f>
        <v/>
      </c>
      <c r="F16" s="13">
        <f>Raw_Data!F16</f>
        <v/>
      </c>
      <c r="G16" s="14">
        <f>Raw_Data!G16</f>
        <v/>
      </c>
      <c r="H16" s="14">
        <f>I15</f>
        <v/>
      </c>
      <c r="I16" s="14">
        <f>H16+C16-D16</f>
        <v/>
      </c>
      <c r="J16" s="14">
        <f>C16-D16</f>
        <v/>
      </c>
      <c r="K16" s="16">
        <f>B16*12</f>
        <v/>
      </c>
      <c r="L16" s="13">
        <f>B16/I16</f>
        <v/>
      </c>
      <c r="M16" s="17">
        <f>D16/H16</f>
        <v/>
      </c>
      <c r="N16" s="13">
        <f>B16-E16</f>
        <v/>
      </c>
      <c r="O16" s="17">
        <f>(B16-E16)/B16</f>
        <v/>
      </c>
      <c r="P16" s="16">
        <f>SUM(B5:B16)</f>
        <v/>
      </c>
      <c r="Q16" s="16">
        <f>SUM(E5:E16)</f>
        <v/>
      </c>
      <c r="R16" s="17">
        <f>1-Q16/P16</f>
        <v/>
      </c>
      <c r="S16" s="14">
        <f>SUM(C5:C16)</f>
        <v/>
      </c>
      <c r="T16" s="14">
        <f>SUM(D5:D16)</f>
        <v/>
      </c>
      <c r="U16" s="16">
        <f>SUM(F5:F16)</f>
        <v/>
      </c>
      <c r="V16" s="13">
        <f>U16/S16</f>
        <v/>
      </c>
      <c r="W16" s="14">
        <f>S16-T16</f>
        <v/>
      </c>
      <c r="X16" s="13">
        <f>U16/W16</f>
        <v/>
      </c>
      <c r="Y16" s="17">
        <f>T16/SUM(H5:H16)</f>
        <v/>
      </c>
      <c r="Z16" s="17">
        <f>AVERAGE(M5:M16)</f>
        <v/>
      </c>
      <c r="AA16" s="13">
        <f>L16*R16/Z16</f>
        <v/>
      </c>
      <c r="AB16" s="18">
        <f>V16/(L16*R16)</f>
        <v/>
      </c>
      <c r="AC16" s="19">
        <f>AA16/V16</f>
        <v/>
      </c>
    </row>
    <row r="17">
      <c r="A17" s="20" t="inlineStr">
        <is>
          <t>2025-01</t>
        </is>
      </c>
      <c r="B17" s="21">
        <f>Raw_Data!B17</f>
        <v/>
      </c>
      <c r="C17" s="22">
        <f>Raw_Data!C17</f>
        <v/>
      </c>
      <c r="D17" s="22">
        <f>Raw_Data!D17</f>
        <v/>
      </c>
      <c r="E17" s="21">
        <f>Raw_Data!E17</f>
        <v/>
      </c>
      <c r="F17" s="21">
        <f>Raw_Data!F17</f>
        <v/>
      </c>
      <c r="G17" s="22">
        <f>Raw_Data!G17</f>
        <v/>
      </c>
      <c r="H17" s="22">
        <f>I16</f>
        <v/>
      </c>
      <c r="I17" s="22">
        <f>H17+C17-D17</f>
        <v/>
      </c>
      <c r="J17" s="22">
        <f>C17-D17</f>
        <v/>
      </c>
      <c r="K17" s="23">
        <f>B17*12</f>
        <v/>
      </c>
      <c r="L17" s="21">
        <f>B17/I17</f>
        <v/>
      </c>
      <c r="M17" s="24">
        <f>D17/H17</f>
        <v/>
      </c>
      <c r="N17" s="21">
        <f>B17-E17</f>
        <v/>
      </c>
      <c r="O17" s="24">
        <f>(B17-E17)/B17</f>
        <v/>
      </c>
      <c r="P17" s="23">
        <f>SUM(B6:B17)</f>
        <v/>
      </c>
      <c r="Q17" s="23">
        <f>SUM(E6:E17)</f>
        <v/>
      </c>
      <c r="R17" s="24">
        <f>1-Q17/P17</f>
        <v/>
      </c>
      <c r="S17" s="22">
        <f>SUM(C6:C17)</f>
        <v/>
      </c>
      <c r="T17" s="22">
        <f>SUM(D6:D17)</f>
        <v/>
      </c>
      <c r="U17" s="23">
        <f>SUM(F6:F17)</f>
        <v/>
      </c>
      <c r="V17" s="21">
        <f>U17/S17</f>
        <v/>
      </c>
      <c r="W17" s="22">
        <f>S17-T17</f>
        <v/>
      </c>
      <c r="X17" s="21">
        <f>U17/W17</f>
        <v/>
      </c>
      <c r="Y17" s="24">
        <f>T17/SUM(H6:H17)</f>
        <v/>
      </c>
      <c r="Z17" s="24">
        <f>AVERAGE(M6:M17)</f>
        <v/>
      </c>
      <c r="AA17" s="21">
        <f>L17*R17/Z17</f>
        <v/>
      </c>
      <c r="AB17" s="25">
        <f>V17/(L17*R17)</f>
        <v/>
      </c>
      <c r="AC17" s="26">
        <f>AA17/V17</f>
        <v/>
      </c>
    </row>
    <row r="18">
      <c r="A18" s="12" t="inlineStr">
        <is>
          <t>2025-02</t>
        </is>
      </c>
      <c r="B18" s="13">
        <f>Raw_Data!B18</f>
        <v/>
      </c>
      <c r="C18" s="14">
        <f>Raw_Data!C18</f>
        <v/>
      </c>
      <c r="D18" s="14">
        <f>Raw_Data!D18</f>
        <v/>
      </c>
      <c r="E18" s="13">
        <f>Raw_Data!E18</f>
        <v/>
      </c>
      <c r="F18" s="13">
        <f>Raw_Data!F18</f>
        <v/>
      </c>
      <c r="G18" s="14">
        <f>Raw_Data!G18</f>
        <v/>
      </c>
      <c r="H18" s="14">
        <f>I17</f>
        <v/>
      </c>
      <c r="I18" s="14">
        <f>H18+C18-D18</f>
        <v/>
      </c>
      <c r="J18" s="14">
        <f>C18-D18</f>
        <v/>
      </c>
      <c r="K18" s="16">
        <f>B18*12</f>
        <v/>
      </c>
      <c r="L18" s="13">
        <f>B18/I18</f>
        <v/>
      </c>
      <c r="M18" s="17">
        <f>D18/H18</f>
        <v/>
      </c>
      <c r="N18" s="13">
        <f>B18-E18</f>
        <v/>
      </c>
      <c r="O18" s="17">
        <f>(B18-E18)/B18</f>
        <v/>
      </c>
      <c r="P18" s="16">
        <f>SUM(B7:B18)</f>
        <v/>
      </c>
      <c r="Q18" s="16">
        <f>SUM(E7:E18)</f>
        <v/>
      </c>
      <c r="R18" s="17">
        <f>1-Q18/P18</f>
        <v/>
      </c>
      <c r="S18" s="14">
        <f>SUM(C7:C18)</f>
        <v/>
      </c>
      <c r="T18" s="14">
        <f>SUM(D7:D18)</f>
        <v/>
      </c>
      <c r="U18" s="16">
        <f>SUM(F7:F18)</f>
        <v/>
      </c>
      <c r="V18" s="13">
        <f>U18/S18</f>
        <v/>
      </c>
      <c r="W18" s="14">
        <f>S18-T18</f>
        <v/>
      </c>
      <c r="X18" s="13">
        <f>U18/W18</f>
        <v/>
      </c>
      <c r="Y18" s="17">
        <f>T18/SUM(H7:H18)</f>
        <v/>
      </c>
      <c r="Z18" s="17">
        <f>AVERAGE(M7:M18)</f>
        <v/>
      </c>
      <c r="AA18" s="13">
        <f>L18*R18/Z18</f>
        <v/>
      </c>
      <c r="AB18" s="18">
        <f>V18/(L18*R18)</f>
        <v/>
      </c>
      <c r="AC18" s="19">
        <f>AA18/V18</f>
        <v/>
      </c>
    </row>
    <row r="19">
      <c r="A19" s="20" t="inlineStr">
        <is>
          <t>2025-03</t>
        </is>
      </c>
      <c r="B19" s="21">
        <f>Raw_Data!B19</f>
        <v/>
      </c>
      <c r="C19" s="22">
        <f>Raw_Data!C19</f>
        <v/>
      </c>
      <c r="D19" s="22">
        <f>Raw_Data!D19</f>
        <v/>
      </c>
      <c r="E19" s="21">
        <f>Raw_Data!E19</f>
        <v/>
      </c>
      <c r="F19" s="21">
        <f>Raw_Data!F19</f>
        <v/>
      </c>
      <c r="G19" s="22">
        <f>Raw_Data!G19</f>
        <v/>
      </c>
      <c r="H19" s="22">
        <f>I18</f>
        <v/>
      </c>
      <c r="I19" s="22">
        <f>H19+C19-D19</f>
        <v/>
      </c>
      <c r="J19" s="22">
        <f>C19-D19</f>
        <v/>
      </c>
      <c r="K19" s="23">
        <f>B19*12</f>
        <v/>
      </c>
      <c r="L19" s="21">
        <f>B19/I19</f>
        <v/>
      </c>
      <c r="M19" s="24">
        <f>D19/H19</f>
        <v/>
      </c>
      <c r="N19" s="21">
        <f>B19-E19</f>
        <v/>
      </c>
      <c r="O19" s="24">
        <f>(B19-E19)/B19</f>
        <v/>
      </c>
      <c r="P19" s="23">
        <f>SUM(B8:B19)</f>
        <v/>
      </c>
      <c r="Q19" s="23">
        <f>SUM(E8:E19)</f>
        <v/>
      </c>
      <c r="R19" s="24">
        <f>1-Q19/P19</f>
        <v/>
      </c>
      <c r="S19" s="22">
        <f>SUM(C8:C19)</f>
        <v/>
      </c>
      <c r="T19" s="22">
        <f>SUM(D8:D19)</f>
        <v/>
      </c>
      <c r="U19" s="23">
        <f>SUM(F8:F19)</f>
        <v/>
      </c>
      <c r="V19" s="21">
        <f>U19/S19</f>
        <v/>
      </c>
      <c r="W19" s="22">
        <f>S19-T19</f>
        <v/>
      </c>
      <c r="X19" s="21">
        <f>U19/W19</f>
        <v/>
      </c>
      <c r="Y19" s="24">
        <f>T19/SUM(H8:H19)</f>
        <v/>
      </c>
      <c r="Z19" s="24">
        <f>AVERAGE(M8:M19)</f>
        <v/>
      </c>
      <c r="AA19" s="21">
        <f>L19*R19/Z19</f>
        <v/>
      </c>
      <c r="AB19" s="25">
        <f>V19/(L19*R19)</f>
        <v/>
      </c>
      <c r="AC19" s="26">
        <f>AA19/V19</f>
        <v/>
      </c>
    </row>
    <row r="20">
      <c r="A20" s="12" t="inlineStr">
        <is>
          <t>2025-04</t>
        </is>
      </c>
      <c r="B20" s="13">
        <f>Raw_Data!B20</f>
        <v/>
      </c>
      <c r="C20" s="14">
        <f>Raw_Data!C20</f>
        <v/>
      </c>
      <c r="D20" s="14">
        <f>Raw_Data!D20</f>
        <v/>
      </c>
      <c r="E20" s="13">
        <f>Raw_Data!E20</f>
        <v/>
      </c>
      <c r="F20" s="13">
        <f>Raw_Data!F20</f>
        <v/>
      </c>
      <c r="G20" s="14">
        <f>Raw_Data!G20</f>
        <v/>
      </c>
      <c r="H20" s="14">
        <f>I19</f>
        <v/>
      </c>
      <c r="I20" s="14">
        <f>H20+C20-D20</f>
        <v/>
      </c>
      <c r="J20" s="14">
        <f>C20-D20</f>
        <v/>
      </c>
      <c r="K20" s="16">
        <f>B20*12</f>
        <v/>
      </c>
      <c r="L20" s="13">
        <f>B20/I20</f>
        <v/>
      </c>
      <c r="M20" s="17">
        <f>D20/H20</f>
        <v/>
      </c>
      <c r="N20" s="13">
        <f>B20-E20</f>
        <v/>
      </c>
      <c r="O20" s="17">
        <f>(B20-E20)/B20</f>
        <v/>
      </c>
      <c r="P20" s="16">
        <f>SUM(B9:B20)</f>
        <v/>
      </c>
      <c r="Q20" s="16">
        <f>SUM(E9:E20)</f>
        <v/>
      </c>
      <c r="R20" s="17">
        <f>1-Q20/P20</f>
        <v/>
      </c>
      <c r="S20" s="14">
        <f>SUM(C9:C20)</f>
        <v/>
      </c>
      <c r="T20" s="14">
        <f>SUM(D9:D20)</f>
        <v/>
      </c>
      <c r="U20" s="16">
        <f>SUM(F9:F20)</f>
        <v/>
      </c>
      <c r="V20" s="13">
        <f>U20/S20</f>
        <v/>
      </c>
      <c r="W20" s="14">
        <f>S20-T20</f>
        <v/>
      </c>
      <c r="X20" s="13">
        <f>U20/W20</f>
        <v/>
      </c>
      <c r="Y20" s="17">
        <f>T20/SUM(H9:H20)</f>
        <v/>
      </c>
      <c r="Z20" s="17">
        <f>AVERAGE(M9:M20)</f>
        <v/>
      </c>
      <c r="AA20" s="13">
        <f>L20*R20/Z20</f>
        <v/>
      </c>
      <c r="AB20" s="18">
        <f>V20/(L20*R20)</f>
        <v/>
      </c>
      <c r="AC20" s="19">
        <f>AA20/V20</f>
        <v/>
      </c>
    </row>
    <row r="21">
      <c r="A21" s="20" t="inlineStr">
        <is>
          <t>2025-05</t>
        </is>
      </c>
      <c r="B21" s="21">
        <f>Raw_Data!B21</f>
        <v/>
      </c>
      <c r="C21" s="22">
        <f>Raw_Data!C21</f>
        <v/>
      </c>
      <c r="D21" s="22">
        <f>Raw_Data!D21</f>
        <v/>
      </c>
      <c r="E21" s="21">
        <f>Raw_Data!E21</f>
        <v/>
      </c>
      <c r="F21" s="21">
        <f>Raw_Data!F21</f>
        <v/>
      </c>
      <c r="G21" s="22">
        <f>Raw_Data!G21</f>
        <v/>
      </c>
      <c r="H21" s="22">
        <f>I20</f>
        <v/>
      </c>
      <c r="I21" s="22">
        <f>H21+C21-D21</f>
        <v/>
      </c>
      <c r="J21" s="22">
        <f>C21-D21</f>
        <v/>
      </c>
      <c r="K21" s="23">
        <f>B21*12</f>
        <v/>
      </c>
      <c r="L21" s="21">
        <f>B21/I21</f>
        <v/>
      </c>
      <c r="M21" s="24">
        <f>D21/H21</f>
        <v/>
      </c>
      <c r="N21" s="21">
        <f>B21-E21</f>
        <v/>
      </c>
      <c r="O21" s="24">
        <f>(B21-E21)/B21</f>
        <v/>
      </c>
      <c r="P21" s="23">
        <f>SUM(B10:B21)</f>
        <v/>
      </c>
      <c r="Q21" s="23">
        <f>SUM(E10:E21)</f>
        <v/>
      </c>
      <c r="R21" s="24">
        <f>1-Q21/P21</f>
        <v/>
      </c>
      <c r="S21" s="22">
        <f>SUM(C10:C21)</f>
        <v/>
      </c>
      <c r="T21" s="22">
        <f>SUM(D10:D21)</f>
        <v/>
      </c>
      <c r="U21" s="23">
        <f>SUM(F10:F21)</f>
        <v/>
      </c>
      <c r="V21" s="21">
        <f>U21/S21</f>
        <v/>
      </c>
      <c r="W21" s="22">
        <f>S21-T21</f>
        <v/>
      </c>
      <c r="X21" s="21">
        <f>U21/W21</f>
        <v/>
      </c>
      <c r="Y21" s="24">
        <f>T21/SUM(H10:H21)</f>
        <v/>
      </c>
      <c r="Z21" s="24">
        <f>AVERAGE(M10:M21)</f>
        <v/>
      </c>
      <c r="AA21" s="21">
        <f>L21*R21/Z21</f>
        <v/>
      </c>
      <c r="AB21" s="25">
        <f>V21/(L21*R21)</f>
        <v/>
      </c>
      <c r="AC21" s="26">
        <f>AA21/V21</f>
        <v/>
      </c>
    </row>
    <row r="22">
      <c r="A22" s="12" t="inlineStr">
        <is>
          <t>2025-06</t>
        </is>
      </c>
      <c r="B22" s="13">
        <f>Raw_Data!B22</f>
        <v/>
      </c>
      <c r="C22" s="14">
        <f>Raw_Data!C22</f>
        <v/>
      </c>
      <c r="D22" s="14">
        <f>Raw_Data!D22</f>
        <v/>
      </c>
      <c r="E22" s="13">
        <f>Raw_Data!E22</f>
        <v/>
      </c>
      <c r="F22" s="13">
        <f>Raw_Data!F22</f>
        <v/>
      </c>
      <c r="G22" s="14">
        <f>Raw_Data!G22</f>
        <v/>
      </c>
      <c r="H22" s="14">
        <f>I21</f>
        <v/>
      </c>
      <c r="I22" s="14">
        <f>H22+C22-D22</f>
        <v/>
      </c>
      <c r="J22" s="14">
        <f>C22-D22</f>
        <v/>
      </c>
      <c r="K22" s="16">
        <f>B22*12</f>
        <v/>
      </c>
      <c r="L22" s="13">
        <f>B22/I22</f>
        <v/>
      </c>
      <c r="M22" s="17">
        <f>D22/H22</f>
        <v/>
      </c>
      <c r="N22" s="13">
        <f>B22-E22</f>
        <v/>
      </c>
      <c r="O22" s="17">
        <f>(B22-E22)/B22</f>
        <v/>
      </c>
      <c r="P22" s="16">
        <f>SUM(B11:B22)</f>
        <v/>
      </c>
      <c r="Q22" s="16">
        <f>SUM(E11:E22)</f>
        <v/>
      </c>
      <c r="R22" s="17">
        <f>1-Q22/P22</f>
        <v/>
      </c>
      <c r="S22" s="14">
        <f>SUM(C11:C22)</f>
        <v/>
      </c>
      <c r="T22" s="14">
        <f>SUM(D11:D22)</f>
        <v/>
      </c>
      <c r="U22" s="16">
        <f>SUM(F11:F22)</f>
        <v/>
      </c>
      <c r="V22" s="13">
        <f>U22/S22</f>
        <v/>
      </c>
      <c r="W22" s="14">
        <f>S22-T22</f>
        <v/>
      </c>
      <c r="X22" s="13">
        <f>U22/W22</f>
        <v/>
      </c>
      <c r="Y22" s="17">
        <f>T22/SUM(H11:H22)</f>
        <v/>
      </c>
      <c r="Z22" s="17">
        <f>AVERAGE(M11:M22)</f>
        <v/>
      </c>
      <c r="AA22" s="13">
        <f>L22*R22/Z22</f>
        <v/>
      </c>
      <c r="AB22" s="18">
        <f>V22/(L22*R22)</f>
        <v/>
      </c>
      <c r="AC22" s="19">
        <f>AA22/V22</f>
        <v/>
      </c>
    </row>
    <row r="23">
      <c r="A23" s="20" t="inlineStr">
        <is>
          <t>2025-07</t>
        </is>
      </c>
      <c r="B23" s="21">
        <f>Raw_Data!B23</f>
        <v/>
      </c>
      <c r="C23" s="22">
        <f>Raw_Data!C23</f>
        <v/>
      </c>
      <c r="D23" s="22">
        <f>Raw_Data!D23</f>
        <v/>
      </c>
      <c r="E23" s="21">
        <f>Raw_Data!E23</f>
        <v/>
      </c>
      <c r="F23" s="21">
        <f>Raw_Data!F23</f>
        <v/>
      </c>
      <c r="G23" s="22">
        <f>Raw_Data!G23</f>
        <v/>
      </c>
      <c r="H23" s="22">
        <f>I22</f>
        <v/>
      </c>
      <c r="I23" s="22">
        <f>H23+C23-D23</f>
        <v/>
      </c>
      <c r="J23" s="22">
        <f>C23-D23</f>
        <v/>
      </c>
      <c r="K23" s="23">
        <f>B23*12</f>
        <v/>
      </c>
      <c r="L23" s="21">
        <f>B23/I23</f>
        <v/>
      </c>
      <c r="M23" s="24">
        <f>D23/H23</f>
        <v/>
      </c>
      <c r="N23" s="21">
        <f>B23-E23</f>
        <v/>
      </c>
      <c r="O23" s="24">
        <f>(B23-E23)/B23</f>
        <v/>
      </c>
      <c r="P23" s="23">
        <f>SUM(B12:B23)</f>
        <v/>
      </c>
      <c r="Q23" s="23">
        <f>SUM(E12:E23)</f>
        <v/>
      </c>
      <c r="R23" s="24">
        <f>1-Q23/P23</f>
        <v/>
      </c>
      <c r="S23" s="22">
        <f>SUM(C12:C23)</f>
        <v/>
      </c>
      <c r="T23" s="22">
        <f>SUM(D12:D23)</f>
        <v/>
      </c>
      <c r="U23" s="23">
        <f>SUM(F12:F23)</f>
        <v/>
      </c>
      <c r="V23" s="21">
        <f>U23/S23</f>
        <v/>
      </c>
      <c r="W23" s="22">
        <f>S23-T23</f>
        <v/>
      </c>
      <c r="X23" s="21">
        <f>U23/W23</f>
        <v/>
      </c>
      <c r="Y23" s="24">
        <f>T23/SUM(H12:H23)</f>
        <v/>
      </c>
      <c r="Z23" s="24">
        <f>AVERAGE(M12:M23)</f>
        <v/>
      </c>
      <c r="AA23" s="21">
        <f>L23*R23/Z23</f>
        <v/>
      </c>
      <c r="AB23" s="25">
        <f>V23/(L23*R23)</f>
        <v/>
      </c>
      <c r="AC23" s="26">
        <f>AA23/V23</f>
        <v/>
      </c>
    </row>
    <row r="24">
      <c r="A24" s="12" t="inlineStr">
        <is>
          <t>2025-08</t>
        </is>
      </c>
      <c r="B24" s="13">
        <f>Raw_Data!B24</f>
        <v/>
      </c>
      <c r="C24" s="14">
        <f>Raw_Data!C24</f>
        <v/>
      </c>
      <c r="D24" s="14">
        <f>Raw_Data!D24</f>
        <v/>
      </c>
      <c r="E24" s="13">
        <f>Raw_Data!E24</f>
        <v/>
      </c>
      <c r="F24" s="13">
        <f>Raw_Data!F24</f>
        <v/>
      </c>
      <c r="G24" s="14">
        <f>Raw_Data!G24</f>
        <v/>
      </c>
      <c r="H24" s="14">
        <f>I23</f>
        <v/>
      </c>
      <c r="I24" s="14">
        <f>H24+C24-D24</f>
        <v/>
      </c>
      <c r="J24" s="14">
        <f>C24-D24</f>
        <v/>
      </c>
      <c r="K24" s="16">
        <f>B24*12</f>
        <v/>
      </c>
      <c r="L24" s="13">
        <f>B24/I24</f>
        <v/>
      </c>
      <c r="M24" s="17">
        <f>D24/H24</f>
        <v/>
      </c>
      <c r="N24" s="13">
        <f>B24-E24</f>
        <v/>
      </c>
      <c r="O24" s="17">
        <f>(B24-E24)/B24</f>
        <v/>
      </c>
      <c r="P24" s="16">
        <f>SUM(B13:B24)</f>
        <v/>
      </c>
      <c r="Q24" s="16">
        <f>SUM(E13:E24)</f>
        <v/>
      </c>
      <c r="R24" s="17">
        <f>1-Q24/P24</f>
        <v/>
      </c>
      <c r="S24" s="14">
        <f>SUM(C13:C24)</f>
        <v/>
      </c>
      <c r="T24" s="14">
        <f>SUM(D13:D24)</f>
        <v/>
      </c>
      <c r="U24" s="16">
        <f>SUM(F13:F24)</f>
        <v/>
      </c>
      <c r="V24" s="13">
        <f>U24/S24</f>
        <v/>
      </c>
      <c r="W24" s="14">
        <f>S24-T24</f>
        <v/>
      </c>
      <c r="X24" s="13">
        <f>U24/W24</f>
        <v/>
      </c>
      <c r="Y24" s="17">
        <f>T24/SUM(H13:H24)</f>
        <v/>
      </c>
      <c r="Z24" s="17">
        <f>AVERAGE(M13:M24)</f>
        <v/>
      </c>
      <c r="AA24" s="13">
        <f>L24*R24/Z24</f>
        <v/>
      </c>
      <c r="AB24" s="18">
        <f>V24/(L24*R24)</f>
        <v/>
      </c>
      <c r="AC24" s="19">
        <f>AA24/V24</f>
        <v/>
      </c>
    </row>
    <row r="25">
      <c r="A25" s="20" t="inlineStr">
        <is>
          <t>2025-09</t>
        </is>
      </c>
      <c r="B25" s="21">
        <f>Raw_Data!B25</f>
        <v/>
      </c>
      <c r="C25" s="22">
        <f>Raw_Data!C25</f>
        <v/>
      </c>
      <c r="D25" s="22">
        <f>Raw_Data!D25</f>
        <v/>
      </c>
      <c r="E25" s="21">
        <f>Raw_Data!E25</f>
        <v/>
      </c>
      <c r="F25" s="21">
        <f>Raw_Data!F25</f>
        <v/>
      </c>
      <c r="G25" s="22">
        <f>Raw_Data!G25</f>
        <v/>
      </c>
      <c r="H25" s="22">
        <f>I24</f>
        <v/>
      </c>
      <c r="I25" s="22">
        <f>H25+C25-D25</f>
        <v/>
      </c>
      <c r="J25" s="22">
        <f>C25-D25</f>
        <v/>
      </c>
      <c r="K25" s="23">
        <f>B25*12</f>
        <v/>
      </c>
      <c r="L25" s="21">
        <f>B25/I25</f>
        <v/>
      </c>
      <c r="M25" s="24">
        <f>D25/H25</f>
        <v/>
      </c>
      <c r="N25" s="21">
        <f>B25-E25</f>
        <v/>
      </c>
      <c r="O25" s="24">
        <f>(B25-E25)/B25</f>
        <v/>
      </c>
      <c r="P25" s="23">
        <f>SUM(B14:B25)</f>
        <v/>
      </c>
      <c r="Q25" s="23">
        <f>SUM(E14:E25)</f>
        <v/>
      </c>
      <c r="R25" s="24">
        <f>1-Q25/P25</f>
        <v/>
      </c>
      <c r="S25" s="22">
        <f>SUM(C14:C25)</f>
        <v/>
      </c>
      <c r="T25" s="22">
        <f>SUM(D14:D25)</f>
        <v/>
      </c>
      <c r="U25" s="23">
        <f>SUM(F14:F25)</f>
        <v/>
      </c>
      <c r="V25" s="21">
        <f>U25/S25</f>
        <v/>
      </c>
      <c r="W25" s="22">
        <f>S25-T25</f>
        <v/>
      </c>
      <c r="X25" s="21">
        <f>U25/W25</f>
        <v/>
      </c>
      <c r="Y25" s="24">
        <f>T25/SUM(H14:H25)</f>
        <v/>
      </c>
      <c r="Z25" s="24">
        <f>AVERAGE(M14:M25)</f>
        <v/>
      </c>
      <c r="AA25" s="21">
        <f>L25*R25/Z25</f>
        <v/>
      </c>
      <c r="AB25" s="25">
        <f>V25/(L25*R25)</f>
        <v/>
      </c>
      <c r="AC25" s="26">
        <f>AA25/V25</f>
        <v/>
      </c>
    </row>
    <row r="26">
      <c r="A26" s="12" t="inlineStr">
        <is>
          <t>2025-10</t>
        </is>
      </c>
      <c r="B26" s="13">
        <f>Raw_Data!B26</f>
        <v/>
      </c>
      <c r="C26" s="14">
        <f>Raw_Data!C26</f>
        <v/>
      </c>
      <c r="D26" s="14">
        <f>Raw_Data!D26</f>
        <v/>
      </c>
      <c r="E26" s="13">
        <f>Raw_Data!E26</f>
        <v/>
      </c>
      <c r="F26" s="13">
        <f>Raw_Data!F26</f>
        <v/>
      </c>
      <c r="G26" s="14">
        <f>Raw_Data!G26</f>
        <v/>
      </c>
      <c r="H26" s="14">
        <f>I25</f>
        <v/>
      </c>
      <c r="I26" s="14">
        <f>H26+C26-D26</f>
        <v/>
      </c>
      <c r="J26" s="14">
        <f>C26-D26</f>
        <v/>
      </c>
      <c r="K26" s="16">
        <f>B26*12</f>
        <v/>
      </c>
      <c r="L26" s="13">
        <f>B26/I26</f>
        <v/>
      </c>
      <c r="M26" s="17">
        <f>D26/H26</f>
        <v/>
      </c>
      <c r="N26" s="13">
        <f>B26-E26</f>
        <v/>
      </c>
      <c r="O26" s="17">
        <f>(B26-E26)/B26</f>
        <v/>
      </c>
      <c r="P26" s="16">
        <f>SUM(B15:B26)</f>
        <v/>
      </c>
      <c r="Q26" s="16">
        <f>SUM(E15:E26)</f>
        <v/>
      </c>
      <c r="R26" s="17">
        <f>1-Q26/P26</f>
        <v/>
      </c>
      <c r="S26" s="14">
        <f>SUM(C15:C26)</f>
        <v/>
      </c>
      <c r="T26" s="14">
        <f>SUM(D15:D26)</f>
        <v/>
      </c>
      <c r="U26" s="16">
        <f>SUM(F15:F26)</f>
        <v/>
      </c>
      <c r="V26" s="13">
        <f>U26/S26</f>
        <v/>
      </c>
      <c r="W26" s="14">
        <f>S26-T26</f>
        <v/>
      </c>
      <c r="X26" s="13">
        <f>U26/W26</f>
        <v/>
      </c>
      <c r="Y26" s="17">
        <f>T26/SUM(H15:H26)</f>
        <v/>
      </c>
      <c r="Z26" s="17">
        <f>AVERAGE(M15:M26)</f>
        <v/>
      </c>
      <c r="AA26" s="13">
        <f>L26*R26/Z26</f>
        <v/>
      </c>
      <c r="AB26" s="18">
        <f>V26/(L26*R26)</f>
        <v/>
      </c>
      <c r="AC26" s="19">
        <f>AA26/V26</f>
        <v/>
      </c>
    </row>
    <row r="27">
      <c r="A27" s="20" t="inlineStr">
        <is>
          <t>2025-11</t>
        </is>
      </c>
      <c r="B27" s="21">
        <f>Raw_Data!B27</f>
        <v/>
      </c>
      <c r="C27" s="22">
        <f>Raw_Data!C27</f>
        <v/>
      </c>
      <c r="D27" s="22">
        <f>Raw_Data!D27</f>
        <v/>
      </c>
      <c r="E27" s="21">
        <f>Raw_Data!E27</f>
        <v/>
      </c>
      <c r="F27" s="21">
        <f>Raw_Data!F27</f>
        <v/>
      </c>
      <c r="G27" s="22">
        <f>Raw_Data!G27</f>
        <v/>
      </c>
      <c r="H27" s="22">
        <f>I26</f>
        <v/>
      </c>
      <c r="I27" s="22">
        <f>H27+C27-D27</f>
        <v/>
      </c>
      <c r="J27" s="22">
        <f>C27-D27</f>
        <v/>
      </c>
      <c r="K27" s="23">
        <f>B27*12</f>
        <v/>
      </c>
      <c r="L27" s="21">
        <f>B27/I27</f>
        <v/>
      </c>
      <c r="M27" s="24">
        <f>D27/H27</f>
        <v/>
      </c>
      <c r="N27" s="21">
        <f>B27-E27</f>
        <v/>
      </c>
      <c r="O27" s="24">
        <f>(B27-E27)/B27</f>
        <v/>
      </c>
      <c r="P27" s="23">
        <f>SUM(B16:B27)</f>
        <v/>
      </c>
      <c r="Q27" s="23">
        <f>SUM(E16:E27)</f>
        <v/>
      </c>
      <c r="R27" s="24">
        <f>1-Q27/P27</f>
        <v/>
      </c>
      <c r="S27" s="22">
        <f>SUM(C16:C27)</f>
        <v/>
      </c>
      <c r="T27" s="22">
        <f>SUM(D16:D27)</f>
        <v/>
      </c>
      <c r="U27" s="23">
        <f>SUM(F16:F27)</f>
        <v/>
      </c>
      <c r="V27" s="21">
        <f>U27/S27</f>
        <v/>
      </c>
      <c r="W27" s="22">
        <f>S27-T27</f>
        <v/>
      </c>
      <c r="X27" s="21">
        <f>U27/W27</f>
        <v/>
      </c>
      <c r="Y27" s="24">
        <f>T27/SUM(H16:H27)</f>
        <v/>
      </c>
      <c r="Z27" s="24">
        <f>AVERAGE(M16:M27)</f>
        <v/>
      </c>
      <c r="AA27" s="21">
        <f>L27*R27/Z27</f>
        <v/>
      </c>
      <c r="AB27" s="25">
        <f>V27/(L27*R27)</f>
        <v/>
      </c>
      <c r="AC27" s="26">
        <f>AA27/V27</f>
        <v/>
      </c>
    </row>
    <row r="28">
      <c r="A28" s="12" t="inlineStr">
        <is>
          <t>2025-12</t>
        </is>
      </c>
      <c r="B28" s="13">
        <f>Raw_Data!B28</f>
        <v/>
      </c>
      <c r="C28" s="14">
        <f>Raw_Data!C28</f>
        <v/>
      </c>
      <c r="D28" s="14">
        <f>Raw_Data!D28</f>
        <v/>
      </c>
      <c r="E28" s="13">
        <f>Raw_Data!E28</f>
        <v/>
      </c>
      <c r="F28" s="13">
        <f>Raw_Data!F28</f>
        <v/>
      </c>
      <c r="G28" s="14">
        <f>Raw_Data!G28</f>
        <v/>
      </c>
      <c r="H28" s="14">
        <f>I27</f>
        <v/>
      </c>
      <c r="I28" s="14">
        <f>H28+C28-D28</f>
        <v/>
      </c>
      <c r="J28" s="14">
        <f>C28-D28</f>
        <v/>
      </c>
      <c r="K28" s="16">
        <f>B28*12</f>
        <v/>
      </c>
      <c r="L28" s="13">
        <f>B28/I28</f>
        <v/>
      </c>
      <c r="M28" s="17">
        <f>D28/H28</f>
        <v/>
      </c>
      <c r="N28" s="13">
        <f>B28-E28</f>
        <v/>
      </c>
      <c r="O28" s="17">
        <f>(B28-E28)/B28</f>
        <v/>
      </c>
      <c r="P28" s="16">
        <f>SUM(B17:B28)</f>
        <v/>
      </c>
      <c r="Q28" s="16">
        <f>SUM(E17:E28)</f>
        <v/>
      </c>
      <c r="R28" s="17">
        <f>1-Q28/P28</f>
        <v/>
      </c>
      <c r="S28" s="14">
        <f>SUM(C17:C28)</f>
        <v/>
      </c>
      <c r="T28" s="14">
        <f>SUM(D17:D28)</f>
        <v/>
      </c>
      <c r="U28" s="16">
        <f>SUM(F17:F28)</f>
        <v/>
      </c>
      <c r="V28" s="13">
        <f>U28/S28</f>
        <v/>
      </c>
      <c r="W28" s="14">
        <f>S28-T28</f>
        <v/>
      </c>
      <c r="X28" s="13">
        <f>U28/W28</f>
        <v/>
      </c>
      <c r="Y28" s="17">
        <f>T28/SUM(H17:H28)</f>
        <v/>
      </c>
      <c r="Z28" s="17">
        <f>AVERAGE(M17:M28)</f>
        <v/>
      </c>
      <c r="AA28" s="13">
        <f>L28*R28/Z28</f>
        <v/>
      </c>
      <c r="AB28" s="18">
        <f>V28/(L28*R28)</f>
        <v/>
      </c>
      <c r="AC28" s="19">
        <f>AA28/V28</f>
        <v/>
      </c>
    </row>
    <row r="29">
      <c r="A29" s="20" t="inlineStr">
        <is>
          <t>2026-01</t>
        </is>
      </c>
      <c r="B29" s="21">
        <f>Raw_Data!B29</f>
        <v/>
      </c>
      <c r="C29" s="22">
        <f>Raw_Data!C29</f>
        <v/>
      </c>
      <c r="D29" s="22">
        <f>Raw_Data!D29</f>
        <v/>
      </c>
      <c r="E29" s="21">
        <f>Raw_Data!E29</f>
        <v/>
      </c>
      <c r="F29" s="21">
        <f>Raw_Data!F29</f>
        <v/>
      </c>
      <c r="G29" s="22">
        <f>Raw_Data!G29</f>
        <v/>
      </c>
      <c r="H29" s="22">
        <f>I28</f>
        <v/>
      </c>
      <c r="I29" s="22">
        <f>H29+C29-D29</f>
        <v/>
      </c>
      <c r="J29" s="22">
        <f>C29-D29</f>
        <v/>
      </c>
      <c r="K29" s="23">
        <f>B29*12</f>
        <v/>
      </c>
      <c r="L29" s="21">
        <f>B29/I29</f>
        <v/>
      </c>
      <c r="M29" s="24">
        <f>D29/H29</f>
        <v/>
      </c>
      <c r="N29" s="21">
        <f>B29-E29</f>
        <v/>
      </c>
      <c r="O29" s="24">
        <f>(B29-E29)/B29</f>
        <v/>
      </c>
      <c r="P29" s="23">
        <f>SUM(B18:B29)</f>
        <v/>
      </c>
      <c r="Q29" s="23">
        <f>SUM(E18:E29)</f>
        <v/>
      </c>
      <c r="R29" s="24">
        <f>1-Q29/P29</f>
        <v/>
      </c>
      <c r="S29" s="22">
        <f>SUM(C18:C29)</f>
        <v/>
      </c>
      <c r="T29" s="22">
        <f>SUM(D18:D29)</f>
        <v/>
      </c>
      <c r="U29" s="23">
        <f>SUM(F18:F29)</f>
        <v/>
      </c>
      <c r="V29" s="21">
        <f>U29/S29</f>
        <v/>
      </c>
      <c r="W29" s="22">
        <f>S29-T29</f>
        <v/>
      </c>
      <c r="X29" s="21">
        <f>U29/W29</f>
        <v/>
      </c>
      <c r="Y29" s="24">
        <f>T29/SUM(H18:H29)</f>
        <v/>
      </c>
      <c r="Z29" s="24">
        <f>AVERAGE(M18:M29)</f>
        <v/>
      </c>
      <c r="AA29" s="21">
        <f>L29*R29/Z29</f>
        <v/>
      </c>
      <c r="AB29" s="25">
        <f>V29/(L29*R29)</f>
        <v/>
      </c>
      <c r="AC29" s="26">
        <f>AA29/V29</f>
        <v/>
      </c>
    </row>
    <row r="30">
      <c r="A30" s="12" t="inlineStr">
        <is>
          <t>2026-02</t>
        </is>
      </c>
      <c r="B30" s="13">
        <f>Raw_Data!B30</f>
        <v/>
      </c>
      <c r="C30" s="14">
        <f>Raw_Data!C30</f>
        <v/>
      </c>
      <c r="D30" s="14">
        <f>Raw_Data!D30</f>
        <v/>
      </c>
      <c r="E30" s="13">
        <f>Raw_Data!E30</f>
        <v/>
      </c>
      <c r="F30" s="13">
        <f>Raw_Data!F30</f>
        <v/>
      </c>
      <c r="G30" s="14">
        <f>Raw_Data!G30</f>
        <v/>
      </c>
      <c r="H30" s="14">
        <f>I29</f>
        <v/>
      </c>
      <c r="I30" s="14">
        <f>H30+C30-D30</f>
        <v/>
      </c>
      <c r="J30" s="14">
        <f>C30-D30</f>
        <v/>
      </c>
      <c r="K30" s="16">
        <f>B30*12</f>
        <v/>
      </c>
      <c r="L30" s="13">
        <f>B30/I30</f>
        <v/>
      </c>
      <c r="M30" s="17">
        <f>D30/H30</f>
        <v/>
      </c>
      <c r="N30" s="13">
        <f>B30-E30</f>
        <v/>
      </c>
      <c r="O30" s="17">
        <f>(B30-E30)/B30</f>
        <v/>
      </c>
      <c r="P30" s="16">
        <f>SUM(B19:B30)</f>
        <v/>
      </c>
      <c r="Q30" s="16">
        <f>SUM(E19:E30)</f>
        <v/>
      </c>
      <c r="R30" s="17">
        <f>1-Q30/P30</f>
        <v/>
      </c>
      <c r="S30" s="14">
        <f>SUM(C19:C30)</f>
        <v/>
      </c>
      <c r="T30" s="14">
        <f>SUM(D19:D30)</f>
        <v/>
      </c>
      <c r="U30" s="16">
        <f>SUM(F19:F30)</f>
        <v/>
      </c>
      <c r="V30" s="13">
        <f>U30/S30</f>
        <v/>
      </c>
      <c r="W30" s="14">
        <f>S30-T30</f>
        <v/>
      </c>
      <c r="X30" s="13">
        <f>U30/W30</f>
        <v/>
      </c>
      <c r="Y30" s="17">
        <f>T30/SUM(H19:H30)</f>
        <v/>
      </c>
      <c r="Z30" s="17">
        <f>AVERAGE(M19:M30)</f>
        <v/>
      </c>
      <c r="AA30" s="13">
        <f>L30*R30/Z30</f>
        <v/>
      </c>
      <c r="AB30" s="18">
        <f>V30/(L30*R30)</f>
        <v/>
      </c>
      <c r="AC30" s="19">
        <f>AA30/V30</f>
        <v/>
      </c>
    </row>
    <row r="31">
      <c r="A31" s="20" t="inlineStr">
        <is>
          <t>2026-03</t>
        </is>
      </c>
      <c r="B31" s="21">
        <f>Raw_Data!B31</f>
        <v/>
      </c>
      <c r="C31" s="22">
        <f>Raw_Data!C31</f>
        <v/>
      </c>
      <c r="D31" s="22">
        <f>Raw_Data!D31</f>
        <v/>
      </c>
      <c r="E31" s="21">
        <f>Raw_Data!E31</f>
        <v/>
      </c>
      <c r="F31" s="21">
        <f>Raw_Data!F31</f>
        <v/>
      </c>
      <c r="G31" s="22">
        <f>Raw_Data!G31</f>
        <v/>
      </c>
      <c r="H31" s="22">
        <f>I30</f>
        <v/>
      </c>
      <c r="I31" s="22">
        <f>H31+C31-D31</f>
        <v/>
      </c>
      <c r="J31" s="22">
        <f>C31-D31</f>
        <v/>
      </c>
      <c r="K31" s="23">
        <f>B31*12</f>
        <v/>
      </c>
      <c r="L31" s="21">
        <f>B31/I31</f>
        <v/>
      </c>
      <c r="M31" s="24">
        <f>D31/H31</f>
        <v/>
      </c>
      <c r="N31" s="21">
        <f>B31-E31</f>
        <v/>
      </c>
      <c r="O31" s="24">
        <f>(B31-E31)/B31</f>
        <v/>
      </c>
      <c r="P31" s="23">
        <f>SUM(B20:B31)</f>
        <v/>
      </c>
      <c r="Q31" s="23">
        <f>SUM(E20:E31)</f>
        <v/>
      </c>
      <c r="R31" s="24">
        <f>1-Q31/P31</f>
        <v/>
      </c>
      <c r="S31" s="22">
        <f>SUM(C20:C31)</f>
        <v/>
      </c>
      <c r="T31" s="22">
        <f>SUM(D20:D31)</f>
        <v/>
      </c>
      <c r="U31" s="23">
        <f>SUM(F20:F31)</f>
        <v/>
      </c>
      <c r="V31" s="21">
        <f>U31/S31</f>
        <v/>
      </c>
      <c r="W31" s="22">
        <f>S31-T31</f>
        <v/>
      </c>
      <c r="X31" s="21">
        <f>U31/W31</f>
        <v/>
      </c>
      <c r="Y31" s="24">
        <f>T31/SUM(H20:H31)</f>
        <v/>
      </c>
      <c r="Z31" s="24">
        <f>AVERAGE(M20:M31)</f>
        <v/>
      </c>
      <c r="AA31" s="21">
        <f>L31*R31/Z31</f>
        <v/>
      </c>
      <c r="AB31" s="25">
        <f>V31/(L31*R31)</f>
        <v/>
      </c>
      <c r="AC31" s="26">
        <f>AA31/V31</f>
        <v/>
      </c>
    </row>
    <row r="32">
      <c r="A32" s="12" t="inlineStr">
        <is>
          <t>2026-04</t>
        </is>
      </c>
      <c r="B32" s="13">
        <f>Raw_Data!B32</f>
        <v/>
      </c>
      <c r="C32" s="14">
        <f>Raw_Data!C32</f>
        <v/>
      </c>
      <c r="D32" s="14">
        <f>Raw_Data!D32</f>
        <v/>
      </c>
      <c r="E32" s="13">
        <f>Raw_Data!E32</f>
        <v/>
      </c>
      <c r="F32" s="13">
        <f>Raw_Data!F32</f>
        <v/>
      </c>
      <c r="G32" s="14">
        <f>Raw_Data!G32</f>
        <v/>
      </c>
      <c r="H32" s="14">
        <f>I31</f>
        <v/>
      </c>
      <c r="I32" s="14">
        <f>H32+C32-D32</f>
        <v/>
      </c>
      <c r="J32" s="14">
        <f>C32-D32</f>
        <v/>
      </c>
      <c r="K32" s="16">
        <f>B32*12</f>
        <v/>
      </c>
      <c r="L32" s="13">
        <f>B32/I32</f>
        <v/>
      </c>
      <c r="M32" s="17">
        <f>D32/H32</f>
        <v/>
      </c>
      <c r="N32" s="13">
        <f>B32-E32</f>
        <v/>
      </c>
      <c r="O32" s="17">
        <f>(B32-E32)/B32</f>
        <v/>
      </c>
      <c r="P32" s="16">
        <f>SUM(B21:B32)</f>
        <v/>
      </c>
      <c r="Q32" s="16">
        <f>SUM(E21:E32)</f>
        <v/>
      </c>
      <c r="R32" s="17">
        <f>1-Q32/P32</f>
        <v/>
      </c>
      <c r="S32" s="14">
        <f>SUM(C21:C32)</f>
        <v/>
      </c>
      <c r="T32" s="14">
        <f>SUM(D21:D32)</f>
        <v/>
      </c>
      <c r="U32" s="16">
        <f>SUM(F21:F32)</f>
        <v/>
      </c>
      <c r="V32" s="13">
        <f>U32/S32</f>
        <v/>
      </c>
      <c r="W32" s="14">
        <f>S32-T32</f>
        <v/>
      </c>
      <c r="X32" s="13">
        <f>U32/W32</f>
        <v/>
      </c>
      <c r="Y32" s="17">
        <f>T32/SUM(H21:H32)</f>
        <v/>
      </c>
      <c r="Z32" s="17">
        <f>AVERAGE(M21:M32)</f>
        <v/>
      </c>
      <c r="AA32" s="13">
        <f>L32*R32/Z32</f>
        <v/>
      </c>
      <c r="AB32" s="18">
        <f>V32/(L32*R32)</f>
        <v/>
      </c>
      <c r="AC32" s="19">
        <f>AA32/V32</f>
        <v/>
      </c>
    </row>
    <row r="33">
      <c r="A33" s="20" t="inlineStr">
        <is>
          <t>2026-05</t>
        </is>
      </c>
      <c r="B33" s="21">
        <f>Raw_Data!B33</f>
        <v/>
      </c>
      <c r="C33" s="22">
        <f>Raw_Data!C33</f>
        <v/>
      </c>
      <c r="D33" s="22">
        <f>Raw_Data!D33</f>
        <v/>
      </c>
      <c r="E33" s="21">
        <f>Raw_Data!E33</f>
        <v/>
      </c>
      <c r="F33" s="21">
        <f>Raw_Data!F33</f>
        <v/>
      </c>
      <c r="G33" s="22">
        <f>Raw_Data!G33</f>
        <v/>
      </c>
      <c r="H33" s="22">
        <f>I32</f>
        <v/>
      </c>
      <c r="I33" s="22">
        <f>H33+C33-D33</f>
        <v/>
      </c>
      <c r="J33" s="22">
        <f>C33-D33</f>
        <v/>
      </c>
      <c r="K33" s="23">
        <f>B33*12</f>
        <v/>
      </c>
      <c r="L33" s="21">
        <f>B33/I33</f>
        <v/>
      </c>
      <c r="M33" s="24">
        <f>D33/H33</f>
        <v/>
      </c>
      <c r="N33" s="21">
        <f>B33-E33</f>
        <v/>
      </c>
      <c r="O33" s="24">
        <f>(B33-E33)/B33</f>
        <v/>
      </c>
      <c r="P33" s="23">
        <f>SUM(B22:B33)</f>
        <v/>
      </c>
      <c r="Q33" s="23">
        <f>SUM(E22:E33)</f>
        <v/>
      </c>
      <c r="R33" s="24">
        <f>1-Q33/P33</f>
        <v/>
      </c>
      <c r="S33" s="22">
        <f>SUM(C22:C33)</f>
        <v/>
      </c>
      <c r="T33" s="22">
        <f>SUM(D22:D33)</f>
        <v/>
      </c>
      <c r="U33" s="23">
        <f>SUM(F22:F33)</f>
        <v/>
      </c>
      <c r="V33" s="21">
        <f>U33/S33</f>
        <v/>
      </c>
      <c r="W33" s="22">
        <f>S33-T33</f>
        <v/>
      </c>
      <c r="X33" s="21">
        <f>U33/W33</f>
        <v/>
      </c>
      <c r="Y33" s="24">
        <f>T33/SUM(H22:H33)</f>
        <v/>
      </c>
      <c r="Z33" s="24">
        <f>AVERAGE(M22:M33)</f>
        <v/>
      </c>
      <c r="AA33" s="21">
        <f>L33*R33/Z33</f>
        <v/>
      </c>
      <c r="AB33" s="25">
        <f>V33/(L33*R33)</f>
        <v/>
      </c>
      <c r="AC33" s="26">
        <f>AA33/V33</f>
        <v/>
      </c>
    </row>
    <row r="34">
      <c r="A34" s="12" t="inlineStr">
        <is>
          <t>2026-06</t>
        </is>
      </c>
      <c r="B34" s="13">
        <f>Raw_Data!B34</f>
        <v/>
      </c>
      <c r="C34" s="14">
        <f>Raw_Data!C34</f>
        <v/>
      </c>
      <c r="D34" s="14">
        <f>Raw_Data!D34</f>
        <v/>
      </c>
      <c r="E34" s="13">
        <f>Raw_Data!E34</f>
        <v/>
      </c>
      <c r="F34" s="13">
        <f>Raw_Data!F34</f>
        <v/>
      </c>
      <c r="G34" s="14">
        <f>Raw_Data!G34</f>
        <v/>
      </c>
      <c r="H34" s="14">
        <f>I33</f>
        <v/>
      </c>
      <c r="I34" s="14">
        <f>H34+C34-D34</f>
        <v/>
      </c>
      <c r="J34" s="14">
        <f>C34-D34</f>
        <v/>
      </c>
      <c r="K34" s="16">
        <f>B34*12</f>
        <v/>
      </c>
      <c r="L34" s="13">
        <f>B34/I34</f>
        <v/>
      </c>
      <c r="M34" s="17">
        <f>D34/H34</f>
        <v/>
      </c>
      <c r="N34" s="13">
        <f>B34-E34</f>
        <v/>
      </c>
      <c r="O34" s="17">
        <f>(B34-E34)/B34</f>
        <v/>
      </c>
      <c r="P34" s="16">
        <f>SUM(B23:B34)</f>
        <v/>
      </c>
      <c r="Q34" s="16">
        <f>SUM(E23:E34)</f>
        <v/>
      </c>
      <c r="R34" s="17">
        <f>1-Q34/P34</f>
        <v/>
      </c>
      <c r="S34" s="14">
        <f>SUM(C23:C34)</f>
        <v/>
      </c>
      <c r="T34" s="14">
        <f>SUM(D23:D34)</f>
        <v/>
      </c>
      <c r="U34" s="16">
        <f>SUM(F23:F34)</f>
        <v/>
      </c>
      <c r="V34" s="13">
        <f>U34/S34</f>
        <v/>
      </c>
      <c r="W34" s="14">
        <f>S34-T34</f>
        <v/>
      </c>
      <c r="X34" s="13">
        <f>U34/W34</f>
        <v/>
      </c>
      <c r="Y34" s="17">
        <f>T34/SUM(H23:H34)</f>
        <v/>
      </c>
      <c r="Z34" s="17">
        <f>AVERAGE(M23:M34)</f>
        <v/>
      </c>
      <c r="AA34" s="13">
        <f>L34*R34/Z34</f>
        <v/>
      </c>
      <c r="AB34" s="18">
        <f>V34/(L34*R34)</f>
        <v/>
      </c>
      <c r="AC34" s="19">
        <f>AA34/V34</f>
        <v/>
      </c>
    </row>
    <row r="35">
      <c r="A35" s="20" t="inlineStr">
        <is>
          <t>2026-07</t>
        </is>
      </c>
      <c r="B35" s="21">
        <f>Raw_Data!B35</f>
        <v/>
      </c>
      <c r="C35" s="22">
        <f>Raw_Data!C35</f>
        <v/>
      </c>
      <c r="D35" s="22">
        <f>Raw_Data!D35</f>
        <v/>
      </c>
      <c r="E35" s="21">
        <f>Raw_Data!E35</f>
        <v/>
      </c>
      <c r="F35" s="21">
        <f>Raw_Data!F35</f>
        <v/>
      </c>
      <c r="G35" s="22">
        <f>Raw_Data!G35</f>
        <v/>
      </c>
      <c r="H35" s="22">
        <f>I34</f>
        <v/>
      </c>
      <c r="I35" s="22">
        <f>H35+C35-D35</f>
        <v/>
      </c>
      <c r="J35" s="22">
        <f>C35-D35</f>
        <v/>
      </c>
      <c r="K35" s="23">
        <f>B35*12</f>
        <v/>
      </c>
      <c r="L35" s="21">
        <f>B35/I35</f>
        <v/>
      </c>
      <c r="M35" s="24">
        <f>D35/H35</f>
        <v/>
      </c>
      <c r="N35" s="21">
        <f>B35-E35</f>
        <v/>
      </c>
      <c r="O35" s="24">
        <f>(B35-E35)/B35</f>
        <v/>
      </c>
      <c r="P35" s="23">
        <f>SUM(B24:B35)</f>
        <v/>
      </c>
      <c r="Q35" s="23">
        <f>SUM(E24:E35)</f>
        <v/>
      </c>
      <c r="R35" s="24">
        <f>1-Q35/P35</f>
        <v/>
      </c>
      <c r="S35" s="22">
        <f>SUM(C24:C35)</f>
        <v/>
      </c>
      <c r="T35" s="22">
        <f>SUM(D24:D35)</f>
        <v/>
      </c>
      <c r="U35" s="23">
        <f>SUM(F24:F35)</f>
        <v/>
      </c>
      <c r="V35" s="21">
        <f>U35/S35</f>
        <v/>
      </c>
      <c r="W35" s="22">
        <f>S35-T35</f>
        <v/>
      </c>
      <c r="X35" s="21">
        <f>U35/W35</f>
        <v/>
      </c>
      <c r="Y35" s="24">
        <f>T35/SUM(H24:H35)</f>
        <v/>
      </c>
      <c r="Z35" s="24">
        <f>AVERAGE(M24:M35)</f>
        <v/>
      </c>
      <c r="AA35" s="21">
        <f>L35*R35/Z35</f>
        <v/>
      </c>
      <c r="AB35" s="25">
        <f>V35/(L35*R35)</f>
        <v/>
      </c>
      <c r="AC35" s="26">
        <f>AA35/V35</f>
        <v/>
      </c>
    </row>
    <row r="36">
      <c r="A36" s="12" t="inlineStr">
        <is>
          <t>2026-08</t>
        </is>
      </c>
      <c r="B36" s="13">
        <f>Raw_Data!B36</f>
        <v/>
      </c>
      <c r="C36" s="14">
        <f>Raw_Data!C36</f>
        <v/>
      </c>
      <c r="D36" s="14">
        <f>Raw_Data!D36</f>
        <v/>
      </c>
      <c r="E36" s="13">
        <f>Raw_Data!E36</f>
        <v/>
      </c>
      <c r="F36" s="13">
        <f>Raw_Data!F36</f>
        <v/>
      </c>
      <c r="G36" s="14">
        <f>Raw_Data!G36</f>
        <v/>
      </c>
      <c r="H36" s="14">
        <f>I35</f>
        <v/>
      </c>
      <c r="I36" s="14">
        <f>H36+C36-D36</f>
        <v/>
      </c>
      <c r="J36" s="14">
        <f>C36-D36</f>
        <v/>
      </c>
      <c r="K36" s="16">
        <f>B36*12</f>
        <v/>
      </c>
      <c r="L36" s="13">
        <f>B36/I36</f>
        <v/>
      </c>
      <c r="M36" s="17">
        <f>D36/H36</f>
        <v/>
      </c>
      <c r="N36" s="13">
        <f>B36-E36</f>
        <v/>
      </c>
      <c r="O36" s="17">
        <f>(B36-E36)/B36</f>
        <v/>
      </c>
      <c r="P36" s="16">
        <f>SUM(B25:B36)</f>
        <v/>
      </c>
      <c r="Q36" s="16">
        <f>SUM(E25:E36)</f>
        <v/>
      </c>
      <c r="R36" s="17">
        <f>1-Q36/P36</f>
        <v/>
      </c>
      <c r="S36" s="14">
        <f>SUM(C25:C36)</f>
        <v/>
      </c>
      <c r="T36" s="14">
        <f>SUM(D25:D36)</f>
        <v/>
      </c>
      <c r="U36" s="16">
        <f>SUM(F25:F36)</f>
        <v/>
      </c>
      <c r="V36" s="13">
        <f>U36/S36</f>
        <v/>
      </c>
      <c r="W36" s="14">
        <f>S36-T36</f>
        <v/>
      </c>
      <c r="X36" s="13">
        <f>U36/W36</f>
        <v/>
      </c>
      <c r="Y36" s="17">
        <f>T36/SUM(H25:H36)</f>
        <v/>
      </c>
      <c r="Z36" s="17">
        <f>AVERAGE(M25:M36)</f>
        <v/>
      </c>
      <c r="AA36" s="13">
        <f>L36*R36/Z36</f>
        <v/>
      </c>
      <c r="AB36" s="18">
        <f>V36/(L36*R36)</f>
        <v/>
      </c>
      <c r="AC36" s="19">
        <f>AA36/V36</f>
        <v/>
      </c>
    </row>
    <row r="37">
      <c r="A37" s="20" t="inlineStr">
        <is>
          <t>2026-09</t>
        </is>
      </c>
      <c r="B37" s="21">
        <f>Raw_Data!B37</f>
        <v/>
      </c>
      <c r="C37" s="22">
        <f>Raw_Data!C37</f>
        <v/>
      </c>
      <c r="D37" s="22">
        <f>Raw_Data!D37</f>
        <v/>
      </c>
      <c r="E37" s="21">
        <f>Raw_Data!E37</f>
        <v/>
      </c>
      <c r="F37" s="21">
        <f>Raw_Data!F37</f>
        <v/>
      </c>
      <c r="G37" s="22">
        <f>Raw_Data!G37</f>
        <v/>
      </c>
      <c r="H37" s="22">
        <f>I36</f>
        <v/>
      </c>
      <c r="I37" s="22">
        <f>H37+C37-D37</f>
        <v/>
      </c>
      <c r="J37" s="22">
        <f>C37-D37</f>
        <v/>
      </c>
      <c r="K37" s="23">
        <f>B37*12</f>
        <v/>
      </c>
      <c r="L37" s="21">
        <f>B37/I37</f>
        <v/>
      </c>
      <c r="M37" s="24">
        <f>D37/H37</f>
        <v/>
      </c>
      <c r="N37" s="21">
        <f>B37-E37</f>
        <v/>
      </c>
      <c r="O37" s="24">
        <f>(B37-E37)/B37</f>
        <v/>
      </c>
      <c r="P37" s="23">
        <f>SUM(B26:B37)</f>
        <v/>
      </c>
      <c r="Q37" s="23">
        <f>SUM(E26:E37)</f>
        <v/>
      </c>
      <c r="R37" s="24">
        <f>1-Q37/P37</f>
        <v/>
      </c>
      <c r="S37" s="22">
        <f>SUM(C26:C37)</f>
        <v/>
      </c>
      <c r="T37" s="22">
        <f>SUM(D26:D37)</f>
        <v/>
      </c>
      <c r="U37" s="23">
        <f>SUM(F26:F37)</f>
        <v/>
      </c>
      <c r="V37" s="21">
        <f>U37/S37</f>
        <v/>
      </c>
      <c r="W37" s="22">
        <f>S37-T37</f>
        <v/>
      </c>
      <c r="X37" s="21">
        <f>U37/W37</f>
        <v/>
      </c>
      <c r="Y37" s="24">
        <f>T37/SUM(H26:H37)</f>
        <v/>
      </c>
      <c r="Z37" s="24">
        <f>AVERAGE(M26:M37)</f>
        <v/>
      </c>
      <c r="AA37" s="21">
        <f>L37*R37/Z37</f>
        <v/>
      </c>
      <c r="AB37" s="25">
        <f>V37/(L37*R37)</f>
        <v/>
      </c>
      <c r="AC37" s="26">
        <f>AA37/V37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70" customWidth="1" min="4" max="4"/>
    <col width="70" customWidth="1" min="5" max="5"/>
  </cols>
  <sheetData>
    <row r="2">
      <c r="B2" s="1" t="inlineStr">
        <is>
          <t>KPI summary</t>
        </is>
      </c>
    </row>
    <row r="3">
      <c r="B3" s="2" t="inlineStr">
        <is>
          <t>All values are live formulas from Monthly_Model. Sep 2026 = current month; Jun 2026 = end of last quarter (Q2).</t>
        </is>
      </c>
    </row>
    <row r="5">
      <c r="B5" s="7" t="inlineStr">
        <is>
          <t>Metric</t>
        </is>
      </c>
      <c r="C5" s="7" t="inlineStr">
        <is>
          <t>30 Sep 2026 (current)</t>
        </is>
      </c>
      <c r="D5" s="7" t="inlineStr">
        <is>
          <t>30 Jun 2026 (end Q2)</t>
        </is>
      </c>
      <c r="E5" s="7" t="inlineStr">
        <is>
          <t>Definition</t>
        </is>
      </c>
    </row>
    <row r="6" ht="26" customHeight="1">
      <c r="B6" s="27" t="inlineStr">
        <is>
          <t>Active customers</t>
        </is>
      </c>
      <c r="C6" s="28">
        <f>Monthly_Model!I37</f>
        <v/>
      </c>
      <c r="D6" s="28">
        <f>Monthly_Model!I34</f>
        <v/>
      </c>
      <c r="E6" s="29" t="inlineStr">
        <is>
          <t>Beginning + new − churned. Rollforward starts from 120 at Sep 2023.</t>
        </is>
      </c>
    </row>
    <row r="7" ht="26" customHeight="1">
      <c r="B7" s="30" t="inlineStr">
        <is>
          <t>MRR</t>
        </is>
      </c>
      <c r="C7" s="31">
        <f>Monthly_Model!B37</f>
        <v/>
      </c>
      <c r="D7" s="31">
        <f>Monthly_Model!B34</f>
        <v/>
      </c>
      <c r="E7" s="32" t="inlineStr">
        <is>
          <t>Month-end monthly recurring revenue.</t>
        </is>
      </c>
    </row>
    <row r="8" ht="26" customHeight="1">
      <c r="B8" s="27" t="inlineStr">
        <is>
          <t>ARR</t>
        </is>
      </c>
      <c r="C8" s="33">
        <f>Monthly_Model!K37</f>
        <v/>
      </c>
      <c r="D8" s="33">
        <f>Monthly_Model!K34</f>
        <v/>
      </c>
      <c r="E8" s="29" t="inlineStr">
        <is>
          <t>MRR × 12.</t>
        </is>
      </c>
    </row>
    <row r="9" ht="26" customHeight="1">
      <c r="B9" s="30" t="inlineStr">
        <is>
          <t>MRR growth, year over year</t>
        </is>
      </c>
      <c r="C9" s="34">
        <f>Monthly_Model!B37/Monthly_Model!B25-1</f>
        <v/>
      </c>
      <c r="D9" s="34">
        <f>Monthly_Model!B34/Monthly_Model!B22-1</f>
        <v/>
      </c>
      <c r="E9" s="32" t="inlineStr">
        <is>
          <t>MRR vs same month a year earlier (Sep / Jun).</t>
        </is>
      </c>
    </row>
    <row r="10" ht="26" customHeight="1">
      <c r="B10" s="27" t="inlineStr">
        <is>
          <t>MRR multiple since Oct 2023</t>
        </is>
      </c>
      <c r="C10" s="35">
        <f>Monthly_Model!B37/Monthly_Model!B2</f>
        <v/>
      </c>
      <c r="D10" s="8" t="n"/>
      <c r="E10" s="29" t="inlineStr">
        <is>
          <t>7.79× over 36 months (6.04% monthly CAGR).</t>
        </is>
      </c>
    </row>
    <row r="11" ht="26" customHeight="1">
      <c r="B11" s="30" t="inlineStr">
        <is>
          <t>New customers (TTM)</t>
        </is>
      </c>
      <c r="C11" s="36">
        <f>Monthly_Model!S37</f>
        <v/>
      </c>
      <c r="D11" s="36">
        <f>Monthly_Model!S34</f>
        <v/>
      </c>
      <c r="E11" s="32" t="inlineStr">
        <is>
          <t>Gross new logos in trailing 12 months: 434 (Q2: 401).</t>
        </is>
      </c>
    </row>
    <row r="12" ht="26" customHeight="1">
      <c r="B12" s="27" t="inlineStr">
        <is>
          <t>Churned customers (TTM)</t>
        </is>
      </c>
      <c r="C12" s="28">
        <f>Monthly_Model!T37</f>
        <v/>
      </c>
      <c r="D12" s="28">
        <f>Monthly_Model!T34</f>
        <v/>
      </c>
      <c r="E12" s="29" t="inlineStr">
        <is>
          <t>Logos lost in trailing 12 months: 163 (Q2: 152).</t>
        </is>
      </c>
    </row>
    <row r="13" ht="26" customHeight="1">
      <c r="B13" s="30" t="inlineStr">
        <is>
          <t>Net customer adds (TTM)</t>
        </is>
      </c>
      <c r="C13" s="36">
        <f>Monthly_Model!W37</f>
        <v/>
      </c>
      <c r="D13" s="36">
        <f>Monthly_Model!W34</f>
        <v/>
      </c>
      <c r="E13" s="32" t="inlineStr">
        <is>
          <t>New − churned, trailing 12 months.</t>
        </is>
      </c>
    </row>
    <row r="14" ht="26" customHeight="1">
      <c r="B14" s="27" t="inlineStr">
        <is>
          <t>ARPA</t>
        </is>
      </c>
      <c r="C14" s="37">
        <f>Monthly_Model!L37</f>
        <v/>
      </c>
      <c r="D14" s="37">
        <f>Monthly_Model!L34</f>
        <v/>
      </c>
      <c r="E14" s="29" t="inlineStr">
        <is>
          <t>Month-end MRR ÷ ending active customers.</t>
        </is>
      </c>
    </row>
    <row r="15" ht="26" customHeight="1">
      <c r="B15" s="30" t="inlineStr">
        <is>
          <t>Revenue (TTM)</t>
        </is>
      </c>
      <c r="C15" s="31">
        <f>Monthly_Model!P37</f>
        <v/>
      </c>
      <c r="D15" s="31">
        <f>Monthly_Model!P34</f>
        <v/>
      </c>
      <c r="E15" s="32" t="inlineStr">
        <is>
          <t>Sum of MRR, trailing 12 months.</t>
        </is>
      </c>
    </row>
    <row r="16" ht="26" customHeight="1">
      <c r="B16" s="27" t="inlineStr">
        <is>
          <t>Gross margin (TTM)</t>
        </is>
      </c>
      <c r="C16" s="38">
        <f>Monthly_Model!R37</f>
        <v/>
      </c>
      <c r="D16" s="38">
        <f>Monthly_Model!R34</f>
        <v/>
      </c>
      <c r="E16" s="29" t="inlineStr">
        <is>
          <t>1 − TTM COGS ÷ TTM revenue.</t>
        </is>
      </c>
    </row>
    <row r="17" ht="26" customHeight="1">
      <c r="B17" s="30" t="inlineStr">
        <is>
          <t>S&amp;M spend (TTM)</t>
        </is>
      </c>
      <c r="C17" s="31">
        <f>Monthly_Model!U37</f>
        <v/>
      </c>
      <c r="D17" s="31">
        <f>Monthly_Model!U34</f>
        <v/>
      </c>
      <c r="E17" s="32" t="inlineStr">
        <is>
          <t>Sales &amp; marketing spend, trailing 12 months.</t>
        </is>
      </c>
    </row>
    <row r="18" ht="26" customHeight="1">
      <c r="B18" s="27" t="inlineStr">
        <is>
          <t>CAC — gross adds (TTM)</t>
        </is>
      </c>
      <c r="C18" s="37">
        <f>Monthly_Model!V37</f>
        <v/>
      </c>
      <c r="D18" s="37">
        <f>Monthly_Model!V34</f>
        <v/>
      </c>
      <c r="E18" s="29" t="inlineStr">
        <is>
          <t>TTM S&amp;M ÷ TTM new customers. Headline CAC.</t>
        </is>
      </c>
    </row>
    <row r="19" ht="26" customHeight="1">
      <c r="B19" s="30" t="inlineStr">
        <is>
          <t>CAC — net adds (TTM)</t>
        </is>
      </c>
      <c r="C19" s="39">
        <f>Monthly_Model!X37</f>
        <v/>
      </c>
      <c r="D19" s="39">
        <f>Monthly_Model!X34</f>
        <v/>
      </c>
      <c r="E19" s="32" t="inlineStr">
        <is>
          <t>TTM S&amp;M ÷ TTM net adds. Non-standard; shown because the Q2 board deck used it.</t>
        </is>
      </c>
    </row>
    <row r="20" ht="26" customHeight="1">
      <c r="B20" s="27" t="inlineStr">
        <is>
          <t>Logo churn (TTM, avg monthly)</t>
        </is>
      </c>
      <c r="C20" s="38">
        <f>Monthly_Model!Z37</f>
        <v/>
      </c>
      <c r="D20" s="38">
        <f>Monthly_Model!Z34</f>
        <v/>
      </c>
      <c r="E20" s="29" t="inlineStr">
        <is>
          <t>Average of churned ÷ beginning customers over 12 months.</t>
        </is>
      </c>
    </row>
    <row r="21" ht="26" customHeight="1">
      <c r="B21" s="30" t="inlineStr">
        <is>
          <t>Annualised logo retention</t>
        </is>
      </c>
      <c r="C21" s="34">
        <f>(1-Monthly_Model!Z37)^12</f>
        <v/>
      </c>
      <c r="D21" s="34">
        <f>(1-Monthly_Model!Z34)^12</f>
        <v/>
      </c>
      <c r="E21" s="32" t="inlineStr">
        <is>
          <t>(1 − monthly churn)^12. Logo basis — MRR NNR cannot be split from the source data.</t>
        </is>
      </c>
    </row>
    <row r="22" ht="26" customHeight="1">
      <c r="B22" s="27" t="inlineStr">
        <is>
          <t>LTV</t>
        </is>
      </c>
      <c r="C22" s="37">
        <f>Monthly_Model!AA37</f>
        <v/>
      </c>
      <c r="D22" s="37">
        <f>Monthly_Model!AA34</f>
        <v/>
      </c>
      <c r="E22" s="29" t="inlineStr">
        <is>
          <t>ARPA × TTM gross margin ÷ avg monthly logo churn. Steady-state, undiscounted.</t>
        </is>
      </c>
    </row>
    <row r="23" ht="26" customHeight="1">
      <c r="B23" s="30" t="inlineStr">
        <is>
          <t>CAC payback (months)</t>
        </is>
      </c>
      <c r="C23" s="40">
        <f>Monthly_Model!AB37</f>
        <v/>
      </c>
      <c r="D23" s="40">
        <f>Monthly_Model!AB34</f>
        <v/>
      </c>
      <c r="E23" s="32" t="inlineStr">
        <is>
          <t>CAC ÷ (ARPA × gross margin) — months of gross profit per customer.</t>
        </is>
      </c>
    </row>
    <row r="24" ht="26" customHeight="1">
      <c r="B24" s="27" t="inlineStr">
        <is>
          <t>LTV / CAC</t>
        </is>
      </c>
      <c r="C24" s="35">
        <f>Monthly_Model!AC37</f>
        <v/>
      </c>
      <c r="D24" s="35">
        <f>Monthly_Model!AC34</f>
        <v/>
      </c>
      <c r="E24" s="29" t="inlineStr">
        <is>
          <t>Blended return on S&amp;M using headline CAC.</t>
        </is>
      </c>
    </row>
    <row r="25" ht="26" customHeight="1">
      <c r="B25" s="30" t="inlineStr">
        <is>
          <t>S&amp;M intensity (TTM)</t>
        </is>
      </c>
      <c r="C25" s="34">
        <f>Monthly_Model!U37/Monthly_Model!P37</f>
        <v/>
      </c>
      <c r="D25" s="34">
        <f>Monthly_Model!U34/Monthly_Model!P34</f>
        <v/>
      </c>
      <c r="E25" s="32" t="inlineStr">
        <is>
          <t>TTM S&amp;M ÷ TTM revenue.</t>
        </is>
      </c>
    </row>
    <row r="26" ht="26" customHeight="1">
      <c r="B26" s="27" t="inlineStr">
        <is>
          <t>Headcount</t>
        </is>
      </c>
      <c r="C26" s="28">
        <f>Monthly_Model!G37</f>
        <v/>
      </c>
      <c r="D26" s="28">
        <f>Monthly_Model!G34</f>
        <v/>
      </c>
      <c r="E26" s="29" t="inlineStr">
        <is>
          <t>As reported; no payroll costs provided.</t>
        </is>
      </c>
    </row>
    <row r="27" ht="26" customHeight="1">
      <c r="B27" s="30" t="inlineStr">
        <is>
          <t>ARR per employee</t>
        </is>
      </c>
      <c r="C27" s="31">
        <f>Monthly_Model!K37/Monthly_Model!G37</f>
        <v/>
      </c>
      <c r="D27" s="31">
        <f>Monthly_Model!K34/Monthly_Model!G34</f>
        <v/>
      </c>
      <c r="E27" s="32" t="inlineStr">
        <is>
          <t>Ending ARR ÷ headcount.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60" customWidth="1" min="5" max="5"/>
    <col width="14" customWidth="1" min="6" max="6"/>
  </cols>
  <sheetData>
    <row r="2">
      <c r="B2" s="1" t="inlineStr">
        <is>
          <t>Reconciliation — Q2 board deck, slide 7 ("Unit Economics")</t>
        </is>
      </c>
    </row>
    <row r="3">
      <c r="B3" s="2" t="inlineStr">
        <is>
          <t>Board deck header says “Source: finance model, end of Q2”. Recomputed columns are live formulas from Monthly_Model.</t>
        </is>
      </c>
    </row>
    <row r="5" ht="30" customHeight="1">
      <c r="B5" s="11" t="inlineStr">
        <is>
          <t>Metric</t>
        </is>
      </c>
      <c r="C5" s="11" t="inlineStr">
        <is>
          <t>Board slide 7</t>
        </is>
      </c>
      <c r="D5" s="11" t="inlineStr">
        <is>
          <t>Recomputed
30 Sep 2026</t>
        </is>
      </c>
      <c r="E5" s="11" t="inlineStr">
        <is>
          <t>Recomputed
30 Jun 2026</t>
        </is>
      </c>
      <c r="F5" s="11" t="inlineStr">
        <is>
          <t>Finding</t>
        </is>
      </c>
      <c r="G5" s="11" t="inlineStr">
        <is>
          <t>Status</t>
        </is>
      </c>
    </row>
    <row r="6" ht="78" customHeight="1">
      <c r="B6" s="27" t="inlineStr">
        <is>
          <t>ARPA</t>
        </is>
      </c>
      <c r="C6" s="13" t="n">
        <v>236.27</v>
      </c>
      <c r="D6" s="13">
        <f>Monthly_Model!L37</f>
        <v/>
      </c>
      <c r="E6" s="13">
        <f>Monthly_Model!L34</f>
        <v/>
      </c>
      <c r="F6" s="41" t="inlineStr">
        <is>
          <t>Matches the Sep-2026 cut EXACTLY ($236.2709). At end of Q2 the value was $235.13, so the slide is stamped “end of Q2” but carries a Q3 number.</t>
        </is>
      </c>
      <c r="G6" s="42" t="inlineStr">
        <is>
          <t>AGREES*</t>
        </is>
      </c>
    </row>
    <row r="7" ht="78" customHeight="1">
      <c r="B7" s="27" t="inlineStr">
        <is>
          <t>CAC (trailing 12 months)</t>
        </is>
      </c>
      <c r="C7" s="13" t="n">
        <v>1583</v>
      </c>
      <c r="D7" s="13">
        <f>Monthly_Model!V37</f>
        <v/>
      </c>
      <c r="E7" s="13">
        <f>Monthly_Model!V34</f>
        <v/>
      </c>
      <c r="F7" s="41" t="inlineStr">
        <is>
          <t>CONFLICT. Headline CAC = TTM S&amp;M ÷ GROSS new customers = $1,172.91 now ($1,157.02 at Q2). $1,583 only reproduces as S&amp;M ÷ NET adds for a window around Aug 2025 ($1,578.59, see Monthly_Model!X24) — both the wrong denominator and a stale window.</t>
        </is>
      </c>
      <c r="G7" s="43" t="inlineStr">
        <is>
          <t>CONFLICT</t>
        </is>
      </c>
    </row>
    <row r="8" ht="78" customHeight="1">
      <c r="B8" s="27" t="inlineStr">
        <is>
          <t>LTV</t>
        </is>
      </c>
      <c r="C8" s="13" t="n">
        <v>8019.93</v>
      </c>
      <c r="D8" s="13">
        <f>Monthly_Model!AA37</f>
        <v/>
      </c>
      <c r="E8" s="13">
        <f>Monthly_Model!AA34</f>
        <v/>
      </c>
      <c r="F8" s="41" t="inlineStr">
        <is>
          <t>Within $9 (0.1%) of the current-cut LTV of $8,028.95 (steady-state-churn variant: $8,081.31); the exact $8,019.93 does not reproduce under any tested window/method. End-Q2 LTV was $7,608.25, so this is also not an end-Q2 figure. Treat as current-quarter with a rounding/method difference to confirm.</t>
        </is>
      </c>
      <c r="G8" s="44" t="inlineStr">
        <is>
          <t>OFF ~0.1%</t>
        </is>
      </c>
    </row>
    <row r="9" ht="78" customHeight="1">
      <c r="B9" s="27" t="inlineStr">
        <is>
          <t>CAC payback (months)</t>
        </is>
      </c>
      <c r="C9" s="18" t="n">
        <v>6.44</v>
      </c>
      <c r="D9" s="18">
        <f>Monthly_Model!AB37</f>
        <v/>
      </c>
      <c r="E9" s="18">
        <f>Monthly_Model!AB34</f>
        <v/>
      </c>
      <c r="F9" s="41" t="inlineStr">
        <is>
          <t>Matches the Sep-2026 cut EXACTLY ($1,172.91 ÷ ($236.27 × 77.14%) = 6.435 ≈ 6.44; end Q2 = 6.42). Note: this payback is internally inconsistent with the same slide's $1,583 CAC — it implies CAC of about $1,174 (cross-check below).</t>
        </is>
      </c>
      <c r="G9" s="42" t="inlineStr">
        <is>
          <t>AGREES*</t>
        </is>
      </c>
    </row>
    <row r="11">
      <c r="B11" s="3" t="inlineStr">
        <is>
          <t>Cross-checks</t>
        </is>
      </c>
    </row>
    <row r="12" ht="30" customHeight="1">
      <c r="B12" s="27" t="inlineStr">
        <is>
          <t>Net-add CAC at Aug 2025 (TTM)</t>
        </is>
      </c>
      <c r="C12" s="13">
        <f>Monthly_Model!X24</f>
        <v/>
      </c>
      <c r="D12" s="29" t="inlineStr">
        <is>
          <t>Closest reproduction of the board's $1,583: $1,578.59. Window ends 13 months before the slide date.</t>
        </is>
      </c>
      <c r="E12" s="8" t="n"/>
      <c r="F12" s="8" t="n"/>
      <c r="G12" s="8" t="n"/>
    </row>
    <row r="13" ht="30" customHeight="1">
      <c r="B13" s="27" t="inlineStr">
        <is>
          <t>Implied CAC from board payback</t>
        </is>
      </c>
      <c r="C13" s="13">
        <f>6.44*Monthly_Model!L37*Monthly_Model!R37</f>
        <v/>
      </c>
      <c r="D13" s="29" t="inlineStr">
        <is>
          <t>6.44 × $236.27 × 77.14% = $1,173.81 — the board's payback implies the $1,173 gross-add CAC, not its own $1,583.</t>
        </is>
      </c>
      <c r="E13" s="8" t="n"/>
      <c r="F13" s="8" t="n"/>
      <c r="G13" s="8" t="n"/>
    </row>
    <row r="14" ht="30" customHeight="1">
      <c r="B14" s="27" t="inlineStr">
        <is>
          <t>LTV on steady-state churn (Sep 2026)</t>
        </is>
      </c>
      <c r="C14" s="13">
        <f>Monthly_Model!L37*Monthly_Model!R37/Monthly_Model!Y37</f>
        <v/>
      </c>
      <c r="D14" s="29" t="inlineStr">
        <is>
          <t>Alternative churn convention: TTM churned ÷ sum of beginning customers = 2.26%.</t>
        </is>
      </c>
      <c r="E14" s="8" t="n"/>
      <c r="F14" s="8" t="n"/>
      <c r="G14" s="8" t="n"/>
    </row>
    <row r="16">
      <c r="B16" s="2" t="inlineStr">
        <is>
          <t>* AGREES = reproduces on the current (Sep-2026) data; the board slide labels all figures “end of Q2”, but ARPA and payback tie to Sep 2026, not Jun 2026.</t>
        </is>
      </c>
    </row>
  </sheetData>
  <mergeCells count="3">
    <mergeCell ref="D12:G12"/>
    <mergeCell ref="D14:G14"/>
    <mergeCell ref="D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